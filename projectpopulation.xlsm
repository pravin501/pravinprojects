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230" yWindow="-15" windowWidth="10275" windowHeight="8160" activeTab="1"/>
  </bookViews>
  <sheets>
    <sheet name="population_data" sheetId="1" r:id="rId1"/>
    <sheet name="population_data1" sheetId="2" r:id="rId2"/>
  </sheets>
  <externalReferences>
    <externalReference r:id="rId3"/>
    <externalReference r:id="rId4"/>
  </externalReferences>
  <definedNames>
    <definedName name="_xlnm._FilterDatabase" localSheetId="0" hidden="1">population_data!$A$1:$T$235</definedName>
  </definedNames>
  <calcPr calcId="144525"/>
  <pivotCaches>
    <pivotCache cacheId="24" r:id="rId5"/>
  </pivotCaches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" i="1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" i="2"/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" i="2"/>
  <c r="D162" i="2"/>
  <c r="E162" i="2" s="1"/>
  <c r="D235" i="2"/>
  <c r="E235" i="2" s="1"/>
  <c r="D2" i="2"/>
  <c r="E2" i="2" s="1"/>
  <c r="D3" i="2"/>
  <c r="E3" i="2" s="1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30" i="2"/>
  <c r="E30" i="2" s="1"/>
  <c r="D31" i="2"/>
  <c r="E31" i="2" s="1"/>
  <c r="D32" i="2"/>
  <c r="E32" i="2" s="1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52" i="2"/>
  <c r="E52" i="2" s="1"/>
  <c r="D53" i="2"/>
  <c r="E53" i="2" s="1"/>
  <c r="D54" i="2"/>
  <c r="E54" i="2" s="1"/>
  <c r="D55" i="2"/>
  <c r="E55" i="2" s="1"/>
  <c r="D56" i="2"/>
  <c r="E56" i="2" s="1"/>
  <c r="D57" i="2"/>
  <c r="E57" i="2" s="1"/>
  <c r="D58" i="2"/>
  <c r="E58" i="2" s="1"/>
  <c r="D59" i="2"/>
  <c r="E59" i="2" s="1"/>
  <c r="D60" i="2"/>
  <c r="E60" i="2" s="1"/>
  <c r="D61" i="2"/>
  <c r="E61" i="2" s="1"/>
  <c r="D62" i="2"/>
  <c r="E62" i="2" s="1"/>
  <c r="D63" i="2"/>
  <c r="E63" i="2" s="1"/>
  <c r="D64" i="2"/>
  <c r="E64" i="2" s="1"/>
  <c r="D65" i="2"/>
  <c r="E65" i="2" s="1"/>
  <c r="D66" i="2"/>
  <c r="E66" i="2" s="1"/>
  <c r="D67" i="2"/>
  <c r="E67" i="2" s="1"/>
  <c r="D68" i="2"/>
  <c r="E68" i="2" s="1"/>
  <c r="D69" i="2"/>
  <c r="E69" i="2" s="1"/>
  <c r="D70" i="2"/>
  <c r="E70" i="2" s="1"/>
  <c r="D71" i="2"/>
  <c r="E71" i="2" s="1"/>
  <c r="D72" i="2"/>
  <c r="E72" i="2" s="1"/>
  <c r="D73" i="2"/>
  <c r="E73" i="2" s="1"/>
  <c r="D74" i="2"/>
  <c r="E74" i="2" s="1"/>
  <c r="D75" i="2"/>
  <c r="E75" i="2" s="1"/>
  <c r="D76" i="2"/>
  <c r="E76" i="2" s="1"/>
  <c r="D77" i="2"/>
  <c r="E77" i="2" s="1"/>
  <c r="D78" i="2"/>
  <c r="E78" i="2" s="1"/>
  <c r="D79" i="2"/>
  <c r="E79" i="2" s="1"/>
  <c r="D80" i="2"/>
  <c r="E80" i="2" s="1"/>
  <c r="D81" i="2"/>
  <c r="E81" i="2" s="1"/>
  <c r="D82" i="2"/>
  <c r="E82" i="2" s="1"/>
  <c r="D83" i="2"/>
  <c r="E83" i="2" s="1"/>
  <c r="D84" i="2"/>
  <c r="E84" i="2" s="1"/>
  <c r="D85" i="2"/>
  <c r="E85" i="2" s="1"/>
  <c r="D86" i="2"/>
  <c r="E86" i="2" s="1"/>
  <c r="D87" i="2"/>
  <c r="E87" i="2" s="1"/>
  <c r="D88" i="2"/>
  <c r="E88" i="2" s="1"/>
  <c r="D89" i="2"/>
  <c r="E89" i="2" s="1"/>
  <c r="D90" i="2"/>
  <c r="E90" i="2" s="1"/>
  <c r="D91" i="2"/>
  <c r="E91" i="2" s="1"/>
  <c r="D92" i="2"/>
  <c r="E92" i="2" s="1"/>
  <c r="D93" i="2"/>
  <c r="E93" i="2" s="1"/>
  <c r="D94" i="2"/>
  <c r="E94" i="2" s="1"/>
  <c r="D95" i="2"/>
  <c r="E95" i="2" s="1"/>
  <c r="D96" i="2"/>
  <c r="E96" i="2" s="1"/>
  <c r="D97" i="2"/>
  <c r="E97" i="2" s="1"/>
  <c r="D98" i="2"/>
  <c r="E98" i="2" s="1"/>
  <c r="D99" i="2"/>
  <c r="E99" i="2" s="1"/>
  <c r="D100" i="2"/>
  <c r="E100" i="2" s="1"/>
  <c r="D101" i="2"/>
  <c r="E101" i="2" s="1"/>
  <c r="D102" i="2"/>
  <c r="E102" i="2" s="1"/>
  <c r="D103" i="2"/>
  <c r="E103" i="2" s="1"/>
  <c r="D104" i="2"/>
  <c r="E104" i="2" s="1"/>
  <c r="D105" i="2"/>
  <c r="E105" i="2" s="1"/>
  <c r="D106" i="2"/>
  <c r="E106" i="2" s="1"/>
  <c r="D107" i="2"/>
  <c r="E107" i="2" s="1"/>
  <c r="D108" i="2"/>
  <c r="E108" i="2" s="1"/>
  <c r="D109" i="2"/>
  <c r="E109" i="2" s="1"/>
  <c r="D110" i="2"/>
  <c r="E110" i="2" s="1"/>
  <c r="D111" i="2"/>
  <c r="E111" i="2" s="1"/>
  <c r="D112" i="2"/>
  <c r="E112" i="2" s="1"/>
  <c r="D113" i="2"/>
  <c r="E113" i="2" s="1"/>
  <c r="D114" i="2"/>
  <c r="E114" i="2" s="1"/>
  <c r="D115" i="2"/>
  <c r="E115" i="2" s="1"/>
  <c r="D116" i="2"/>
  <c r="E116" i="2" s="1"/>
  <c r="D117" i="2"/>
  <c r="E117" i="2" s="1"/>
  <c r="D118" i="2"/>
  <c r="E118" i="2" s="1"/>
  <c r="D119" i="2"/>
  <c r="E119" i="2" s="1"/>
  <c r="D120" i="2"/>
  <c r="E120" i="2" s="1"/>
  <c r="D121" i="2"/>
  <c r="E121" i="2" s="1"/>
  <c r="D122" i="2"/>
  <c r="E122" i="2" s="1"/>
  <c r="D123" i="2"/>
  <c r="E123" i="2" s="1"/>
  <c r="D124" i="2"/>
  <c r="E124" i="2" s="1"/>
  <c r="D125" i="2"/>
  <c r="E125" i="2" s="1"/>
  <c r="D126" i="2"/>
  <c r="E126" i="2" s="1"/>
  <c r="D127" i="2"/>
  <c r="E127" i="2" s="1"/>
  <c r="D128" i="2"/>
  <c r="E128" i="2" s="1"/>
  <c r="D129" i="2"/>
  <c r="E129" i="2" s="1"/>
  <c r="D130" i="2"/>
  <c r="E130" i="2" s="1"/>
  <c r="D131" i="2"/>
  <c r="E131" i="2" s="1"/>
  <c r="D132" i="2"/>
  <c r="E132" i="2" s="1"/>
  <c r="D133" i="2"/>
  <c r="E133" i="2" s="1"/>
  <c r="D134" i="2"/>
  <c r="E134" i="2" s="1"/>
  <c r="D135" i="2"/>
  <c r="E135" i="2" s="1"/>
  <c r="D136" i="2"/>
  <c r="E136" i="2" s="1"/>
  <c r="D137" i="2"/>
  <c r="E137" i="2" s="1"/>
  <c r="D138" i="2"/>
  <c r="E138" i="2" s="1"/>
  <c r="D139" i="2"/>
  <c r="E139" i="2" s="1"/>
  <c r="D140" i="2"/>
  <c r="E140" i="2" s="1"/>
  <c r="D141" i="2"/>
  <c r="E141" i="2" s="1"/>
  <c r="D142" i="2"/>
  <c r="E142" i="2" s="1"/>
  <c r="D143" i="2"/>
  <c r="E143" i="2" s="1"/>
  <c r="D144" i="2"/>
  <c r="E144" i="2" s="1"/>
  <c r="D145" i="2"/>
  <c r="E145" i="2" s="1"/>
  <c r="D146" i="2"/>
  <c r="E146" i="2" s="1"/>
  <c r="D147" i="2"/>
  <c r="E147" i="2" s="1"/>
  <c r="D148" i="2"/>
  <c r="E148" i="2" s="1"/>
  <c r="D149" i="2"/>
  <c r="E149" i="2" s="1"/>
  <c r="D150" i="2"/>
  <c r="E150" i="2" s="1"/>
  <c r="D151" i="2"/>
  <c r="E151" i="2" s="1"/>
  <c r="D152" i="2"/>
  <c r="E152" i="2" s="1"/>
  <c r="D153" i="2"/>
  <c r="E153" i="2" s="1"/>
  <c r="D154" i="2"/>
  <c r="E154" i="2" s="1"/>
  <c r="D155" i="2"/>
  <c r="E155" i="2" s="1"/>
  <c r="D156" i="2"/>
  <c r="E156" i="2" s="1"/>
  <c r="D157" i="2"/>
  <c r="E157" i="2" s="1"/>
  <c r="D158" i="2"/>
  <c r="E158" i="2" s="1"/>
  <c r="D159" i="2"/>
  <c r="E159" i="2" s="1"/>
  <c r="D160" i="2"/>
  <c r="E160" i="2" s="1"/>
  <c r="D161" i="2"/>
  <c r="E161" i="2" s="1"/>
  <c r="D163" i="2"/>
  <c r="E163" i="2" s="1"/>
  <c r="D164" i="2"/>
  <c r="E164" i="2" s="1"/>
  <c r="D165" i="2"/>
  <c r="E165" i="2" s="1"/>
  <c r="D166" i="2"/>
  <c r="E166" i="2" s="1"/>
  <c r="D167" i="2"/>
  <c r="E167" i="2" s="1"/>
  <c r="D168" i="2"/>
  <c r="E168" i="2" s="1"/>
  <c r="D169" i="2"/>
  <c r="E169" i="2" s="1"/>
  <c r="D170" i="2"/>
  <c r="E170" i="2" s="1"/>
  <c r="D171" i="2"/>
  <c r="E171" i="2" s="1"/>
  <c r="D172" i="2"/>
  <c r="E172" i="2" s="1"/>
  <c r="D173" i="2"/>
  <c r="E173" i="2" s="1"/>
  <c r="D174" i="2"/>
  <c r="E174" i="2" s="1"/>
  <c r="D175" i="2"/>
  <c r="E175" i="2" s="1"/>
  <c r="D176" i="2"/>
  <c r="E176" i="2" s="1"/>
  <c r="D177" i="2"/>
  <c r="E177" i="2" s="1"/>
  <c r="D178" i="2"/>
  <c r="E178" i="2" s="1"/>
  <c r="D179" i="2"/>
  <c r="E179" i="2" s="1"/>
  <c r="D180" i="2"/>
  <c r="E180" i="2" s="1"/>
  <c r="D181" i="2"/>
  <c r="E181" i="2" s="1"/>
  <c r="D182" i="2"/>
  <c r="E182" i="2" s="1"/>
  <c r="D183" i="2"/>
  <c r="E183" i="2" s="1"/>
  <c r="D184" i="2"/>
  <c r="E184" i="2" s="1"/>
  <c r="D185" i="2"/>
  <c r="E185" i="2" s="1"/>
  <c r="D186" i="2"/>
  <c r="E186" i="2" s="1"/>
  <c r="D187" i="2"/>
  <c r="E187" i="2" s="1"/>
  <c r="D188" i="2"/>
  <c r="E188" i="2" s="1"/>
  <c r="D189" i="2"/>
  <c r="E189" i="2" s="1"/>
  <c r="D190" i="2"/>
  <c r="E190" i="2" s="1"/>
  <c r="D191" i="2"/>
  <c r="E191" i="2" s="1"/>
  <c r="D192" i="2"/>
  <c r="E192" i="2" s="1"/>
  <c r="D193" i="2"/>
  <c r="E193" i="2" s="1"/>
  <c r="D194" i="2"/>
  <c r="E194" i="2" s="1"/>
  <c r="D195" i="2"/>
  <c r="E195" i="2" s="1"/>
  <c r="D196" i="2"/>
  <c r="E196" i="2" s="1"/>
  <c r="D197" i="2"/>
  <c r="E197" i="2" s="1"/>
  <c r="D198" i="2"/>
  <c r="E198" i="2" s="1"/>
  <c r="D199" i="2"/>
  <c r="E199" i="2" s="1"/>
  <c r="D200" i="2"/>
  <c r="E200" i="2" s="1"/>
  <c r="D201" i="2"/>
  <c r="E201" i="2" s="1"/>
  <c r="D202" i="2"/>
  <c r="E202" i="2" s="1"/>
  <c r="D203" i="2"/>
  <c r="E203" i="2" s="1"/>
  <c r="D204" i="2"/>
  <c r="E204" i="2" s="1"/>
  <c r="D205" i="2"/>
  <c r="E205" i="2" s="1"/>
  <c r="D206" i="2"/>
  <c r="E206" i="2" s="1"/>
  <c r="D207" i="2"/>
  <c r="E207" i="2" s="1"/>
  <c r="D208" i="2"/>
  <c r="E208" i="2" s="1"/>
  <c r="D209" i="2"/>
  <c r="E209" i="2" s="1"/>
  <c r="D210" i="2"/>
  <c r="E210" i="2" s="1"/>
  <c r="D211" i="2"/>
  <c r="E211" i="2" s="1"/>
  <c r="D212" i="2"/>
  <c r="E212" i="2" s="1"/>
  <c r="D213" i="2"/>
  <c r="E213" i="2" s="1"/>
  <c r="D214" i="2"/>
  <c r="E214" i="2" s="1"/>
  <c r="D215" i="2"/>
  <c r="E215" i="2" s="1"/>
  <c r="D216" i="2"/>
  <c r="E216" i="2" s="1"/>
  <c r="D217" i="2"/>
  <c r="E217" i="2" s="1"/>
  <c r="D218" i="2"/>
  <c r="E218" i="2" s="1"/>
  <c r="D219" i="2"/>
  <c r="E219" i="2" s="1"/>
  <c r="D220" i="2"/>
  <c r="E220" i="2" s="1"/>
  <c r="D221" i="2"/>
  <c r="E221" i="2" s="1"/>
  <c r="D222" i="2"/>
  <c r="E222" i="2" s="1"/>
  <c r="D223" i="2"/>
  <c r="E223" i="2" s="1"/>
  <c r="D224" i="2"/>
  <c r="E224" i="2" s="1"/>
  <c r="D225" i="2"/>
  <c r="E225" i="2" s="1"/>
  <c r="D226" i="2"/>
  <c r="E226" i="2" s="1"/>
  <c r="D227" i="2"/>
  <c r="E227" i="2" s="1"/>
  <c r="D228" i="2"/>
  <c r="E228" i="2" s="1"/>
  <c r="D229" i="2"/>
  <c r="E229" i="2" s="1"/>
  <c r="D230" i="2"/>
  <c r="E230" i="2" s="1"/>
  <c r="D231" i="2"/>
  <c r="E231" i="2" s="1"/>
  <c r="D232" i="2"/>
  <c r="E232" i="2" s="1"/>
  <c r="D233" i="2"/>
  <c r="E233" i="2" s="1"/>
  <c r="D234" i="2"/>
  <c r="E234" i="2" s="1"/>
</calcChain>
</file>

<file path=xl/sharedStrings.xml><?xml version="1.0" encoding="utf-8"?>
<sst xmlns="http://schemas.openxmlformats.org/spreadsheetml/2006/main" count="1222" uniqueCount="509">
  <si>
    <t>cca2</t>
  </si>
  <si>
    <t>country</t>
  </si>
  <si>
    <t>pop2022</t>
  </si>
  <si>
    <t>pop2021</t>
  </si>
  <si>
    <t>pop2020</t>
  </si>
  <si>
    <t>pop2050</t>
  </si>
  <si>
    <t>pop2030</t>
  </si>
  <si>
    <t>pop2015</t>
  </si>
  <si>
    <t>pop2010</t>
  </si>
  <si>
    <t>pop2000</t>
  </si>
  <si>
    <t>pop1990</t>
  </si>
  <si>
    <t>pop1980</t>
  </si>
  <si>
    <t>pop1970</t>
  </si>
  <si>
    <t>area</t>
  </si>
  <si>
    <t>landAreaKm</t>
  </si>
  <si>
    <t>density</t>
  </si>
  <si>
    <t>GrowthRate</t>
  </si>
  <si>
    <t>WorldPercentage</t>
  </si>
  <si>
    <t>rank</t>
  </si>
  <si>
    <t>CN</t>
  </si>
  <si>
    <t>China</t>
  </si>
  <si>
    <t>IN</t>
  </si>
  <si>
    <t>India</t>
  </si>
  <si>
    <t>US</t>
  </si>
  <si>
    <t>United States</t>
  </si>
  <si>
    <t>ID</t>
  </si>
  <si>
    <t>Indonesia</t>
  </si>
  <si>
    <t>PK</t>
  </si>
  <si>
    <t>Pakistan</t>
  </si>
  <si>
    <t>NG</t>
  </si>
  <si>
    <t>Nigeria</t>
  </si>
  <si>
    <t>BR</t>
  </si>
  <si>
    <t>Brazil</t>
  </si>
  <si>
    <t>BD</t>
  </si>
  <si>
    <t>Bangladesh</t>
  </si>
  <si>
    <t>RU</t>
  </si>
  <si>
    <t>Russia</t>
  </si>
  <si>
    <t>MX</t>
  </si>
  <si>
    <t>Mexico</t>
  </si>
  <si>
    <t>JP</t>
  </si>
  <si>
    <t>Japan</t>
  </si>
  <si>
    <t>ET</t>
  </si>
  <si>
    <t>Ethiopia</t>
  </si>
  <si>
    <t>PH</t>
  </si>
  <si>
    <t>Philippines</t>
  </si>
  <si>
    <t>EG</t>
  </si>
  <si>
    <t>Egypt</t>
  </si>
  <si>
    <t>CD</t>
  </si>
  <si>
    <t>DR Congo</t>
  </si>
  <si>
    <t>VN</t>
  </si>
  <si>
    <t>Vietnam</t>
  </si>
  <si>
    <t>IR</t>
  </si>
  <si>
    <t>Iran</t>
  </si>
  <si>
    <t>TR</t>
  </si>
  <si>
    <t>Turkey</t>
  </si>
  <si>
    <t>DE</t>
  </si>
  <si>
    <t>Germany</t>
  </si>
  <si>
    <t>TH</t>
  </si>
  <si>
    <t>Thailand</t>
  </si>
  <si>
    <t>GB</t>
  </si>
  <si>
    <t>United Kingdom</t>
  </si>
  <si>
    <t>TZ</t>
  </si>
  <si>
    <t>Tanzania</t>
  </si>
  <si>
    <t>FR</t>
  </si>
  <si>
    <t>France</t>
  </si>
  <si>
    <t>ZA</t>
  </si>
  <si>
    <t>South Africa</t>
  </si>
  <si>
    <t>IT</t>
  </si>
  <si>
    <t>Italy</t>
  </si>
  <si>
    <t>MM</t>
  </si>
  <si>
    <t>Myanmar</t>
  </si>
  <si>
    <t>KE</t>
  </si>
  <si>
    <t>Kenya</t>
  </si>
  <si>
    <t>CO</t>
  </si>
  <si>
    <t>Colombia</t>
  </si>
  <si>
    <t>KR</t>
  </si>
  <si>
    <t>South Korea</t>
  </si>
  <si>
    <t>ES</t>
  </si>
  <si>
    <t>Spain</t>
  </si>
  <si>
    <t>UG</t>
  </si>
  <si>
    <t>Uganda</t>
  </si>
  <si>
    <t>SD</t>
  </si>
  <si>
    <t>Sudan</t>
  </si>
  <si>
    <t>AR</t>
  </si>
  <si>
    <t>Argentina</t>
  </si>
  <si>
    <t>DZ</t>
  </si>
  <si>
    <t>Algeria</t>
  </si>
  <si>
    <t>IQ</t>
  </si>
  <si>
    <t>Iraq</t>
  </si>
  <si>
    <t>AF</t>
  </si>
  <si>
    <t>Afghanistan</t>
  </si>
  <si>
    <t>PL</t>
  </si>
  <si>
    <t>Poland</t>
  </si>
  <si>
    <t>UA</t>
  </si>
  <si>
    <t>Ukraine</t>
  </si>
  <si>
    <t>CA</t>
  </si>
  <si>
    <t>Canada</t>
  </si>
  <si>
    <t>MA</t>
  </si>
  <si>
    <t>Morocco</t>
  </si>
  <si>
    <t>SA</t>
  </si>
  <si>
    <t>Saudi Arabia</t>
  </si>
  <si>
    <t>AO</t>
  </si>
  <si>
    <t>Angola</t>
  </si>
  <si>
    <t>UZ</t>
  </si>
  <si>
    <t>Uzbekistan</t>
  </si>
  <si>
    <t>PE</t>
  </si>
  <si>
    <t>Peru</t>
  </si>
  <si>
    <t>MY</t>
  </si>
  <si>
    <t>Malaysia</t>
  </si>
  <si>
    <t>YE</t>
  </si>
  <si>
    <t>Yemen</t>
  </si>
  <si>
    <t>GH</t>
  </si>
  <si>
    <t>Ghana</t>
  </si>
  <si>
    <t>MZ</t>
  </si>
  <si>
    <t>Mozambique</t>
  </si>
  <si>
    <t>NP</t>
  </si>
  <si>
    <t>Nepal</t>
  </si>
  <si>
    <t>MG</t>
  </si>
  <si>
    <t>Madagascar</t>
  </si>
  <si>
    <t>VE</t>
  </si>
  <si>
    <t>Venezuela</t>
  </si>
  <si>
    <t>CI</t>
  </si>
  <si>
    <t>Ivory Coast</t>
  </si>
  <si>
    <t>CM</t>
  </si>
  <si>
    <t>Cameroon</t>
  </si>
  <si>
    <t>NE</t>
  </si>
  <si>
    <t>Niger</t>
  </si>
  <si>
    <t>AU</t>
  </si>
  <si>
    <t>Australia</t>
  </si>
  <si>
    <t>KP</t>
  </si>
  <si>
    <t>North Korea</t>
  </si>
  <si>
    <t>TW</t>
  </si>
  <si>
    <t>Taiwan</t>
  </si>
  <si>
    <t>BF</t>
  </si>
  <si>
    <t>Burkina Faso</t>
  </si>
  <si>
    <t>ML</t>
  </si>
  <si>
    <t>Mali</t>
  </si>
  <si>
    <t>SY</t>
  </si>
  <si>
    <t>Syria</t>
  </si>
  <si>
    <t>LK</t>
  </si>
  <si>
    <t>Sri Lanka</t>
  </si>
  <si>
    <t>MW</t>
  </si>
  <si>
    <t>Malawi</t>
  </si>
  <si>
    <t>ZM</t>
  </si>
  <si>
    <t>Zambia</t>
  </si>
  <si>
    <t>RO</t>
  </si>
  <si>
    <t>Romania</t>
  </si>
  <si>
    <t>CL</t>
  </si>
  <si>
    <t>Chile</t>
  </si>
  <si>
    <t>KZ</t>
  </si>
  <si>
    <t>Kazakhstan</t>
  </si>
  <si>
    <t>EC</t>
  </si>
  <si>
    <t>Ecuador</t>
  </si>
  <si>
    <t>GT</t>
  </si>
  <si>
    <t>Guatemala</t>
  </si>
  <si>
    <t>TD</t>
  </si>
  <si>
    <t>Chad</t>
  </si>
  <si>
    <t>SO</t>
  </si>
  <si>
    <t>Somalia</t>
  </si>
  <si>
    <t>NL</t>
  </si>
  <si>
    <t>Netherlands</t>
  </si>
  <si>
    <t>SN</t>
  </si>
  <si>
    <t>Senegal</t>
  </si>
  <si>
    <t>KH</t>
  </si>
  <si>
    <t>Cambodia</t>
  </si>
  <si>
    <t>ZW</t>
  </si>
  <si>
    <t>Zimbabwe</t>
  </si>
  <si>
    <t>GN</t>
  </si>
  <si>
    <t>Guinea</t>
  </si>
  <si>
    <t>RW</t>
  </si>
  <si>
    <t>Rwanda</t>
  </si>
  <si>
    <t>BJ</t>
  </si>
  <si>
    <t>Benin</t>
  </si>
  <si>
    <t>BI</t>
  </si>
  <si>
    <t>Burundi</t>
  </si>
  <si>
    <t>TN</t>
  </si>
  <si>
    <t>Tunisia</t>
  </si>
  <si>
    <t>BO</t>
  </si>
  <si>
    <t>Bolivia</t>
  </si>
  <si>
    <t>BE</t>
  </si>
  <si>
    <t>Belgium</t>
  </si>
  <si>
    <t>HT</t>
  </si>
  <si>
    <t>Haiti</t>
  </si>
  <si>
    <t>JO</t>
  </si>
  <si>
    <t>Jordan</t>
  </si>
  <si>
    <t>DO</t>
  </si>
  <si>
    <t>Dominican Republic</t>
  </si>
  <si>
    <t>CU</t>
  </si>
  <si>
    <t>Cuba</t>
  </si>
  <si>
    <t>SS</t>
  </si>
  <si>
    <t>South Sudan</t>
  </si>
  <si>
    <t>SE</t>
  </si>
  <si>
    <t>Sweden</t>
  </si>
  <si>
    <t>CZ</t>
  </si>
  <si>
    <t>Czech Republic</t>
  </si>
  <si>
    <t>HN</t>
  </si>
  <si>
    <t>Honduras</t>
  </si>
  <si>
    <t>GR</t>
  </si>
  <si>
    <t>Greece</t>
  </si>
  <si>
    <t>AZ</t>
  </si>
  <si>
    <t>Azerbaijan</t>
  </si>
  <si>
    <t>PT</t>
  </si>
  <si>
    <t>Portugal</t>
  </si>
  <si>
    <t>PG</t>
  </si>
  <si>
    <t>Papua New Guinea</t>
  </si>
  <si>
    <t>HU</t>
  </si>
  <si>
    <t>Hungary</t>
  </si>
  <si>
    <t>TJ</t>
  </si>
  <si>
    <t>Tajikistan</t>
  </si>
  <si>
    <t>BY</t>
  </si>
  <si>
    <t>Belarus</t>
  </si>
  <si>
    <t>AE</t>
  </si>
  <si>
    <t>United Arab Emirates</t>
  </si>
  <si>
    <t>IL</t>
  </si>
  <si>
    <t>Israel</t>
  </si>
  <si>
    <t>AT</t>
  </si>
  <si>
    <t>Austria</t>
  </si>
  <si>
    <t>TG</t>
  </si>
  <si>
    <t>Togo</t>
  </si>
  <si>
    <t>CH</t>
  </si>
  <si>
    <t>Switzerland</t>
  </si>
  <si>
    <t>SL</t>
  </si>
  <si>
    <t>Sierra Leone</t>
  </si>
  <si>
    <t>LA</t>
  </si>
  <si>
    <t>Laos</t>
  </si>
  <si>
    <t>HK</t>
  </si>
  <si>
    <t>Hong Kong</t>
  </si>
  <si>
    <t>RS</t>
  </si>
  <si>
    <t>Serbia</t>
  </si>
  <si>
    <t>NI</t>
  </si>
  <si>
    <t>Nicaragua</t>
  </si>
  <si>
    <t>LY</t>
  </si>
  <si>
    <t>Libya</t>
  </si>
  <si>
    <t>BG</t>
  </si>
  <si>
    <t>Bulgaria</t>
  </si>
  <si>
    <t>PY</t>
  </si>
  <si>
    <t>Paraguay</t>
  </si>
  <si>
    <t>KG</t>
  </si>
  <si>
    <t>Kyrgyzstan</t>
  </si>
  <si>
    <t>TM</t>
  </si>
  <si>
    <t>Turkmenistan</t>
  </si>
  <si>
    <t>SV</t>
  </si>
  <si>
    <t>El Salvador</t>
  </si>
  <si>
    <t>SG</t>
  </si>
  <si>
    <t>Singapore</t>
  </si>
  <si>
    <t>CG</t>
  </si>
  <si>
    <t>Republic of the Congo</t>
  </si>
  <si>
    <t>DK</t>
  </si>
  <si>
    <t>Denmark</t>
  </si>
  <si>
    <t>SK</t>
  </si>
  <si>
    <t>Slovakia</t>
  </si>
  <si>
    <t>CF</t>
  </si>
  <si>
    <t>Central African Republic</t>
  </si>
  <si>
    <t>FI</t>
  </si>
  <si>
    <t>Finland</t>
  </si>
  <si>
    <t>LB</t>
  </si>
  <si>
    <t>Lebanon</t>
  </si>
  <si>
    <t>NO</t>
  </si>
  <si>
    <t>Norway</t>
  </si>
  <si>
    <t>LR</t>
  </si>
  <si>
    <t>Liberia</t>
  </si>
  <si>
    <t>PS</t>
  </si>
  <si>
    <t>Palestine</t>
  </si>
  <si>
    <t>NZ</t>
  </si>
  <si>
    <t>New Zealand</t>
  </si>
  <si>
    <t>CR</t>
  </si>
  <si>
    <t>Costa Rica</t>
  </si>
  <si>
    <t>IE</t>
  </si>
  <si>
    <t>Ireland</t>
  </si>
  <si>
    <t>MR</t>
  </si>
  <si>
    <t>Mauritania</t>
  </si>
  <si>
    <t>OM</t>
  </si>
  <si>
    <t>Oman</t>
  </si>
  <si>
    <t>PA</t>
  </si>
  <si>
    <t>Panama</t>
  </si>
  <si>
    <t>KW</t>
  </si>
  <si>
    <t>Kuwait</t>
  </si>
  <si>
    <t>HR</t>
  </si>
  <si>
    <t>Croatia</t>
  </si>
  <si>
    <t>GE</t>
  </si>
  <si>
    <t>Georgia</t>
  </si>
  <si>
    <t>ER</t>
  </si>
  <si>
    <t>Eritrea</t>
  </si>
  <si>
    <t>UY</t>
  </si>
  <si>
    <t>Uruguay</t>
  </si>
  <si>
    <t>MN</t>
  </si>
  <si>
    <t>Mongolia</t>
  </si>
  <si>
    <t>MD</t>
  </si>
  <si>
    <t>Moldova</t>
  </si>
  <si>
    <t>PR</t>
  </si>
  <si>
    <t>Puerto Rico</t>
  </si>
  <si>
    <t>BA</t>
  </si>
  <si>
    <t>Bosnia and Herzegovina</t>
  </si>
  <si>
    <t>AL</t>
  </si>
  <si>
    <t>Albania</t>
  </si>
  <si>
    <t>JM</t>
  </si>
  <si>
    <t>Jamaica</t>
  </si>
  <si>
    <t>AM</t>
  </si>
  <si>
    <t>Armenia</t>
  </si>
  <si>
    <t>LT</t>
  </si>
  <si>
    <t>Lithuania</t>
  </si>
  <si>
    <t>GM</t>
  </si>
  <si>
    <t>Gambia</t>
  </si>
  <si>
    <t>QA</t>
  </si>
  <si>
    <t>Qatar</t>
  </si>
  <si>
    <t>BW</t>
  </si>
  <si>
    <t>Botswana</t>
  </si>
  <si>
    <t>NA</t>
  </si>
  <si>
    <t>Namibia</t>
  </si>
  <si>
    <t>GA</t>
  </si>
  <si>
    <t>Gabon</t>
  </si>
  <si>
    <t>LS</t>
  </si>
  <si>
    <t>Lesotho</t>
  </si>
  <si>
    <t>SI</t>
  </si>
  <si>
    <t>Slovenia</t>
  </si>
  <si>
    <t>GW</t>
  </si>
  <si>
    <t>Guinea-Bissau</t>
  </si>
  <si>
    <t>MK</t>
  </si>
  <si>
    <t>North Macedonia</t>
  </si>
  <si>
    <t>LV</t>
  </si>
  <si>
    <t>Latvia</t>
  </si>
  <si>
    <t>GQ</t>
  </si>
  <si>
    <t>Equatorial Guinea</t>
  </si>
  <si>
    <t>TT</t>
  </si>
  <si>
    <t>Trinidad and Tobago</t>
  </si>
  <si>
    <t>BH</t>
  </si>
  <si>
    <t>Bahrain</t>
  </si>
  <si>
    <t>TL</t>
  </si>
  <si>
    <t>Timor-Leste</t>
  </si>
  <si>
    <t>EE</t>
  </si>
  <si>
    <t>Estonia</t>
  </si>
  <si>
    <t>MU</t>
  </si>
  <si>
    <t>Mauritius</t>
  </si>
  <si>
    <t>CY</t>
  </si>
  <si>
    <t>Cyprus</t>
  </si>
  <si>
    <t>SZ</t>
  </si>
  <si>
    <t>Eswatini</t>
  </si>
  <si>
    <t>DJ</t>
  </si>
  <si>
    <t>Djibouti</t>
  </si>
  <si>
    <t>RE</t>
  </si>
  <si>
    <t>Reunion</t>
  </si>
  <si>
    <t>FJ</t>
  </si>
  <si>
    <t>Fiji</t>
  </si>
  <si>
    <t>KM</t>
  </si>
  <si>
    <t>Comoros</t>
  </si>
  <si>
    <t>GY</t>
  </si>
  <si>
    <t>Guyana</t>
  </si>
  <si>
    <t>BT</t>
  </si>
  <si>
    <t>Bhutan</t>
  </si>
  <si>
    <t>SB</t>
  </si>
  <si>
    <t>Solomon Islands</t>
  </si>
  <si>
    <t>MO</t>
  </si>
  <si>
    <t>Macau</t>
  </si>
  <si>
    <t>LU</t>
  </si>
  <si>
    <t>Luxembourg</t>
  </si>
  <si>
    <t>ME</t>
  </si>
  <si>
    <t>Montenegro</t>
  </si>
  <si>
    <t>SR</t>
  </si>
  <si>
    <t>Suriname</t>
  </si>
  <si>
    <t>CV</t>
  </si>
  <si>
    <t>Cape Verde</t>
  </si>
  <si>
    <t>EH</t>
  </si>
  <si>
    <t>Western Sahara</t>
  </si>
  <si>
    <t>MT</t>
  </si>
  <si>
    <t>Malta</t>
  </si>
  <si>
    <t>MV</t>
  </si>
  <si>
    <t>Maldives</t>
  </si>
  <si>
    <t>BN</t>
  </si>
  <si>
    <t>Brunei</t>
  </si>
  <si>
    <t>BS</t>
  </si>
  <si>
    <t>Bahamas</t>
  </si>
  <si>
    <t>BZ</t>
  </si>
  <si>
    <t>Belize</t>
  </si>
  <si>
    <t>GP</t>
  </si>
  <si>
    <t>Guadeloupe</t>
  </si>
  <si>
    <t>IS</t>
  </si>
  <si>
    <t>Iceland</t>
  </si>
  <si>
    <t>MQ</t>
  </si>
  <si>
    <t>Martinique</t>
  </si>
  <si>
    <t>VU</t>
  </si>
  <si>
    <t>Vanuatu</t>
  </si>
  <si>
    <t>YT</t>
  </si>
  <si>
    <t>Mayotte</t>
  </si>
  <si>
    <t>PF</t>
  </si>
  <si>
    <t>French Polynesia</t>
  </si>
  <si>
    <t>GF</t>
  </si>
  <si>
    <t>French Guiana</t>
  </si>
  <si>
    <t>NC</t>
  </si>
  <si>
    <t>New Caledonia</t>
  </si>
  <si>
    <t>BB</t>
  </si>
  <si>
    <t>Barbados</t>
  </si>
  <si>
    <t>ST</t>
  </si>
  <si>
    <t>Sao Tome and Principe</t>
  </si>
  <si>
    <t>WS</t>
  </si>
  <si>
    <t>Samoa</t>
  </si>
  <si>
    <t>CW</t>
  </si>
  <si>
    <t>Curacao</t>
  </si>
  <si>
    <t>LC</t>
  </si>
  <si>
    <t>Saint Lucia</t>
  </si>
  <si>
    <t>GU</t>
  </si>
  <si>
    <t>Guam</t>
  </si>
  <si>
    <t>KI</t>
  </si>
  <si>
    <t>Kiribati</t>
  </si>
  <si>
    <t>GD</t>
  </si>
  <si>
    <t>Grenada</t>
  </si>
  <si>
    <t>FM</t>
  </si>
  <si>
    <t>Micronesia</t>
  </si>
  <si>
    <t>JE</t>
  </si>
  <si>
    <t>Jersey</t>
  </si>
  <si>
    <t>SC</t>
  </si>
  <si>
    <t>Seychelles</t>
  </si>
  <si>
    <t>TO</t>
  </si>
  <si>
    <t>Tonga</t>
  </si>
  <si>
    <t>AW</t>
  </si>
  <si>
    <t>Aruba</t>
  </si>
  <si>
    <t>VC</t>
  </si>
  <si>
    <t>Saint Vincent and the Grenadines</t>
  </si>
  <si>
    <t>VI</t>
  </si>
  <si>
    <t>United States Virgin Islands</t>
  </si>
  <si>
    <t>AG</t>
  </si>
  <si>
    <t>Antigua and Barbuda</t>
  </si>
  <si>
    <t>IM</t>
  </si>
  <si>
    <t>Isle of Man</t>
  </si>
  <si>
    <t>AD</t>
  </si>
  <si>
    <t>Andorra</t>
  </si>
  <si>
    <t>DM</t>
  </si>
  <si>
    <t>Dominica</t>
  </si>
  <si>
    <t>KY</t>
  </si>
  <si>
    <t>Cayman Islands</t>
  </si>
  <si>
    <t>BM</t>
  </si>
  <si>
    <t>Bermuda</t>
  </si>
  <si>
    <t>GG</t>
  </si>
  <si>
    <t>Guernsey</t>
  </si>
  <si>
    <t>GL</t>
  </si>
  <si>
    <t>Greenland</t>
  </si>
  <si>
    <t>FO</t>
  </si>
  <si>
    <t>Faroe Islands</t>
  </si>
  <si>
    <t>MP</t>
  </si>
  <si>
    <t>Northern Mariana Islands</t>
  </si>
  <si>
    <t>KN</t>
  </si>
  <si>
    <t>Saint Kitts and Nevis</t>
  </si>
  <si>
    <t>TC</t>
  </si>
  <si>
    <t>Turks and Caicos Islands</t>
  </si>
  <si>
    <t>AS</t>
  </si>
  <si>
    <t>American Samoa</t>
  </si>
  <si>
    <t>SX</t>
  </si>
  <si>
    <t>Sint Maarten</t>
  </si>
  <si>
    <t>MH</t>
  </si>
  <si>
    <t>Marshall Islands</t>
  </si>
  <si>
    <t>LI</t>
  </si>
  <si>
    <t>Liechtenstein</t>
  </si>
  <si>
    <t>MC</t>
  </si>
  <si>
    <t>Monaco</t>
  </si>
  <si>
    <t>SM</t>
  </si>
  <si>
    <t>San Marino</t>
  </si>
  <si>
    <t>GI</t>
  </si>
  <si>
    <t>Gibraltar</t>
  </si>
  <si>
    <t>MF</t>
  </si>
  <si>
    <t>Saint Martin</t>
  </si>
  <si>
    <t>VG</t>
  </si>
  <si>
    <t>British Virgin Islands</t>
  </si>
  <si>
    <t>PW</t>
  </si>
  <si>
    <t>Palau</t>
  </si>
  <si>
    <t>CK</t>
  </si>
  <si>
    <t>Cook Islands</t>
  </si>
  <si>
    <t>AI</t>
  </si>
  <si>
    <t>Anguilla</t>
  </si>
  <si>
    <t>NR</t>
  </si>
  <si>
    <t>Nauru</t>
  </si>
  <si>
    <t>WF</t>
  </si>
  <si>
    <t>Wallis and Futuna</t>
  </si>
  <si>
    <t>TV</t>
  </si>
  <si>
    <t>Tuvalu</t>
  </si>
  <si>
    <t>BL</t>
  </si>
  <si>
    <t>Saint Barthelemy</t>
  </si>
  <si>
    <t>PM</t>
  </si>
  <si>
    <t>Saint Pierre and Miquelon</t>
  </si>
  <si>
    <t>MS</t>
  </si>
  <si>
    <t>Montserrat</t>
  </si>
  <si>
    <t>FK</t>
  </si>
  <si>
    <t>Falkland Islands</t>
  </si>
  <si>
    <t>NU</t>
  </si>
  <si>
    <t>Niue</t>
  </si>
  <si>
    <t>TK</t>
  </si>
  <si>
    <t>Tokelau</t>
  </si>
  <si>
    <t>VA</t>
  </si>
  <si>
    <t>Vatican City</t>
  </si>
  <si>
    <t>Migrants(net)</t>
  </si>
  <si>
    <t>Med.Age</t>
  </si>
  <si>
    <t>Fert.Rate</t>
  </si>
  <si>
    <t>Urban Pop%</t>
  </si>
  <si>
    <t>Row Labels</t>
  </si>
  <si>
    <t>Grand Total</t>
  </si>
  <si>
    <t>Sum of pop2022</t>
  </si>
  <si>
    <t>Sum of pop2021</t>
  </si>
  <si>
    <t>Sum of pop2020</t>
  </si>
  <si>
    <t>Sum of pop2050</t>
  </si>
  <si>
    <t>Sum of pop2030</t>
  </si>
  <si>
    <t>Sum of pop2015</t>
  </si>
  <si>
    <t>Sum of pop2010</t>
  </si>
  <si>
    <t>Sum of pop2000</t>
  </si>
  <si>
    <t>Continent</t>
  </si>
  <si>
    <t>Asia</t>
  </si>
  <si>
    <t>Europe</t>
  </si>
  <si>
    <t>Africa</t>
  </si>
  <si>
    <t>Oceania</t>
  </si>
  <si>
    <t>North America</t>
  </si>
  <si>
    <t>South America</t>
  </si>
  <si>
    <t>Sum of pop1990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</si>
</sst>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33" borderId="10" xfId="0" applyFill="1" applyBorder="1"/>
    <xf numFmtId="0" fontId="0" fillId="0" borderId="10" xfId="0" applyBorder="1"/>
    <xf numFmtId="10" fontId="0" fillId="33" borderId="10" xfId="0" applyNumberFormat="1" applyFill="1" applyBorder="1"/>
    <xf numFmtId="10" fontId="0" fillId="0" borderId="10" xfId="0" applyNumberFormat="1" applyBorder="1"/>
    <xf numFmtId="10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3" borderId="11" xfId="0" applyFill="1" applyBorder="1"/>
    <xf numFmtId="0" fontId="0" fillId="0" borderId="11" xfId="0" applyBorder="1"/>
    <xf numFmtId="0" fontId="0" fillId="33" borderId="12" xfId="0" applyFill="1" applyBorder="1"/>
    <xf numFmtId="0" fontId="0" fillId="0" borderId="12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b/>
        <i val="0"/>
        <color theme="1"/>
      </font>
      <numFmt numFmtId="0" formatCode="General"/>
      <fill>
        <patternFill patternType="lightTrellis">
          <fgColor rgb="FFFF0000"/>
          <bgColor rgb="FF1A604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2" tint="-0.24994659260841701"/>
        </patternFill>
      </fill>
    </dxf>
    <dxf>
      <font>
        <b/>
        <i val="0"/>
        <color theme="1"/>
      </font>
      <numFmt numFmtId="0" formatCode="General"/>
      <fill>
        <patternFill patternType="lightTrellis">
          <fgColor rgb="FFFF0000"/>
          <bgColor rgb="FF1A604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2" tint="-0.499984740745262"/>
        </patternFill>
      </fill>
    </dxf>
  </dxfs>
  <tableStyles count="0" defaultTableStyle="TableStyleMedium2" defaultPivotStyle="PivotStyleLight16"/>
  <colors>
    <mruColors>
      <color rgb="FF1A604F"/>
      <color rgb="FF316B9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[projectpopulation.xlsm]population_data!PivotTable3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spPr>
          <a:effectLst>
            <a:innerShdw blurRad="63500" dir="135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 prst="relaxedInset"/>
          </a:sp3d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population_data!$X$4</c:f>
              <c:strCache>
                <c:ptCount val="1"/>
                <c:pt idx="0">
                  <c:v>Sum of pop1990</c:v>
                </c:pt>
              </c:strCache>
            </c:strRef>
          </c:tx>
          <c:spPr>
            <a:effectLst>
              <a:innerShdw blurRad="635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prst="relaxedInset"/>
            </a:sp3d>
          </c:spPr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population_data!$X$5:$X$11</c:f>
              <c:numCache>
                <c:formatCode>General</c:formatCode>
                <c:ptCount val="6"/>
                <c:pt idx="0">
                  <c:v>638150.62999999989</c:v>
                </c:pt>
                <c:pt idx="1">
                  <c:v>3210563.577</c:v>
                </c:pt>
                <c:pt idx="2">
                  <c:v>720320.79700000002</c:v>
                </c:pt>
                <c:pt idx="3">
                  <c:v>421266.42499999999</c:v>
                </c:pt>
                <c:pt idx="4">
                  <c:v>26743.822000000004</c:v>
                </c:pt>
                <c:pt idx="5">
                  <c:v>297146.41500000004</c:v>
                </c:pt>
              </c:numCache>
            </c:numRef>
          </c:val>
        </c:ser>
        <c:ser>
          <c:idx val="1"/>
          <c:order val="1"/>
          <c:tx>
            <c:strRef>
              <c:f>population_data!$Y$4</c:f>
              <c:strCache>
                <c:ptCount val="1"/>
                <c:pt idx="0">
                  <c:v>Sum of pop2000</c:v>
                </c:pt>
              </c:strCache>
            </c:strRef>
          </c:tx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population_data!$Y$5:$Y$11</c:f>
              <c:numCache>
                <c:formatCode>General</c:formatCode>
                <c:ptCount val="6"/>
                <c:pt idx="0">
                  <c:v>818946.03200000024</c:v>
                </c:pt>
                <c:pt idx="1">
                  <c:v>3735089.6040000012</c:v>
                </c:pt>
                <c:pt idx="2">
                  <c:v>726093.42299999984</c:v>
                </c:pt>
                <c:pt idx="3">
                  <c:v>486069.58400000009</c:v>
                </c:pt>
                <c:pt idx="4">
                  <c:v>31222.777999999998</c:v>
                </c:pt>
                <c:pt idx="5">
                  <c:v>349634.28200000001</c:v>
                </c:pt>
              </c:numCache>
            </c:numRef>
          </c:val>
        </c:ser>
        <c:ser>
          <c:idx val="2"/>
          <c:order val="2"/>
          <c:tx>
            <c:strRef>
              <c:f>population_data!$Z$4</c:f>
              <c:strCache>
                <c:ptCount val="1"/>
                <c:pt idx="0">
                  <c:v>Sum of pop2010</c:v>
                </c:pt>
              </c:strCache>
            </c:strRef>
          </c:tx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population_data!$Z$5:$Z$11</c:f>
              <c:numCache>
                <c:formatCode>General</c:formatCode>
                <c:ptCount val="6"/>
                <c:pt idx="0">
                  <c:v>1055228.0719999997</c:v>
                </c:pt>
                <c:pt idx="1">
                  <c:v>4220041.3270000014</c:v>
                </c:pt>
                <c:pt idx="2">
                  <c:v>735613.9360000001</c:v>
                </c:pt>
                <c:pt idx="3">
                  <c:v>542720.65099999995</c:v>
                </c:pt>
                <c:pt idx="4">
                  <c:v>37102.764000000003</c:v>
                </c:pt>
                <c:pt idx="5">
                  <c:v>393078.25</c:v>
                </c:pt>
              </c:numCache>
            </c:numRef>
          </c:val>
        </c:ser>
        <c:ser>
          <c:idx val="3"/>
          <c:order val="3"/>
          <c:tx>
            <c:strRef>
              <c:f>population_data!$AA$4</c:f>
              <c:strCache>
                <c:ptCount val="1"/>
                <c:pt idx="0">
                  <c:v>Sum of pop2015</c:v>
                </c:pt>
              </c:strCache>
            </c:strRef>
          </c:tx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population_data!$AA$5:$AA$11</c:f>
              <c:numCache>
                <c:formatCode>General</c:formatCode>
                <c:ptCount val="6"/>
                <c:pt idx="0">
                  <c:v>1201102.442</c:v>
                </c:pt>
                <c:pt idx="1">
                  <c:v>4458250.1820000019</c:v>
                </c:pt>
                <c:pt idx="2">
                  <c:v>741535.60800000001</c:v>
                </c:pt>
                <c:pt idx="3">
                  <c:v>570383.85</c:v>
                </c:pt>
                <c:pt idx="4">
                  <c:v>40403.28300000001</c:v>
                </c:pt>
                <c:pt idx="5">
                  <c:v>413134.39600000007</c:v>
                </c:pt>
              </c:numCache>
            </c:numRef>
          </c:val>
        </c:ser>
        <c:ser>
          <c:idx val="4"/>
          <c:order val="4"/>
          <c:tx>
            <c:strRef>
              <c:f>population_data!$AB$4</c:f>
              <c:strCache>
                <c:ptCount val="1"/>
                <c:pt idx="0">
                  <c:v>Sum of pop2020</c:v>
                </c:pt>
              </c:strCache>
            </c:strRef>
          </c:tx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population_data!$AB$5:$AB$11</c:f>
              <c:numCache>
                <c:formatCode>General</c:formatCode>
                <c:ptCount val="6"/>
                <c:pt idx="0">
                  <c:v>1360671.8130000001</c:v>
                </c:pt>
                <c:pt idx="1">
                  <c:v>4663086.5350000001</c:v>
                </c:pt>
                <c:pt idx="2">
                  <c:v>745792.19799999997</c:v>
                </c:pt>
                <c:pt idx="3">
                  <c:v>594236.59400000016</c:v>
                </c:pt>
                <c:pt idx="4">
                  <c:v>43933.425999999985</c:v>
                </c:pt>
                <c:pt idx="5">
                  <c:v>431530.04300000001</c:v>
                </c:pt>
              </c:numCache>
            </c:numRef>
          </c:val>
        </c:ser>
        <c:ser>
          <c:idx val="5"/>
          <c:order val="5"/>
          <c:tx>
            <c:strRef>
              <c:f>population_data!$AC$4</c:f>
              <c:strCache>
                <c:ptCount val="1"/>
                <c:pt idx="0">
                  <c:v>Sum of pop2021</c:v>
                </c:pt>
              </c:strCache>
            </c:strRef>
          </c:tx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population_data!$AC$5:$AC$11</c:f>
              <c:numCache>
                <c:formatCode>General</c:formatCode>
                <c:ptCount val="6"/>
                <c:pt idx="0">
                  <c:v>1393671.0419999999</c:v>
                </c:pt>
                <c:pt idx="1">
                  <c:v>4693331.9749999987</c:v>
                </c:pt>
                <c:pt idx="2">
                  <c:v>744755.94899999991</c:v>
                </c:pt>
                <c:pt idx="3">
                  <c:v>597096.21700000006</c:v>
                </c:pt>
                <c:pt idx="4">
                  <c:v>44491.724000000002</c:v>
                </c:pt>
                <c:pt idx="5">
                  <c:v>434254.12</c:v>
                </c:pt>
              </c:numCache>
            </c:numRef>
          </c:val>
        </c:ser>
        <c:ser>
          <c:idx val="6"/>
          <c:order val="6"/>
          <c:tx>
            <c:strRef>
              <c:f>population_data!$AD$4</c:f>
              <c:strCache>
                <c:ptCount val="1"/>
                <c:pt idx="0">
                  <c:v>Sum of pop2030</c:v>
                </c:pt>
              </c:strCache>
            </c:strRef>
          </c:tx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population_data!$AD$5:$AD$11</c:f>
              <c:numCache>
                <c:formatCode>General</c:formatCode>
                <c:ptCount val="6"/>
                <c:pt idx="0">
                  <c:v>1710661.4679999999</c:v>
                </c:pt>
                <c:pt idx="1">
                  <c:v>4957495.637000001</c:v>
                </c:pt>
                <c:pt idx="2">
                  <c:v>736195.11300000001</c:v>
                </c:pt>
                <c:pt idx="3">
                  <c:v>630633.14699999988</c:v>
                </c:pt>
                <c:pt idx="4">
                  <c:v>49212.010000000009</c:v>
                </c:pt>
                <c:pt idx="5">
                  <c:v>460220.27299999993</c:v>
                </c:pt>
              </c:numCache>
            </c:numRef>
          </c:val>
        </c:ser>
        <c:ser>
          <c:idx val="7"/>
          <c:order val="7"/>
          <c:tx>
            <c:strRef>
              <c:f>population_data!$AE$4</c:f>
              <c:strCache>
                <c:ptCount val="1"/>
                <c:pt idx="0">
                  <c:v>Sum of pop2050</c:v>
                </c:pt>
              </c:strCache>
            </c:strRef>
          </c:tx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population_data!$AE$5:$AE$11</c:f>
              <c:numCache>
                <c:formatCode>General</c:formatCode>
                <c:ptCount val="6"/>
                <c:pt idx="0">
                  <c:v>2485131.6660000002</c:v>
                </c:pt>
                <c:pt idx="1">
                  <c:v>5291555.785000002</c:v>
                </c:pt>
                <c:pt idx="2">
                  <c:v>702729.3550000001</c:v>
                </c:pt>
                <c:pt idx="3">
                  <c:v>679459.31400000001</c:v>
                </c:pt>
                <c:pt idx="4">
                  <c:v>57834.465000000011</c:v>
                </c:pt>
                <c:pt idx="5">
                  <c:v>491078.65199999989</c:v>
                </c:pt>
              </c:numCache>
            </c:numRef>
          </c:val>
        </c:ser>
        <c:ser>
          <c:idx val="8"/>
          <c:order val="8"/>
          <c:tx>
            <c:strRef>
              <c:f>population_data!$AF$4</c:f>
              <c:strCache>
                <c:ptCount val="1"/>
                <c:pt idx="0">
                  <c:v>Sum of pop2022</c:v>
                </c:pt>
              </c:strCache>
            </c:strRef>
          </c:tx>
          <c:invertIfNegative val="0"/>
          <c:cat>
            <c:strRef>
              <c:f>population_data!$W$5:$W$11</c:f>
              <c:strCache>
                <c:ptCount val="6"/>
                <c:pt idx="0">
                  <c:v>Africa</c:v>
                </c:pt>
                <c:pt idx="1">
                  <c:v>Asia</c:v>
                </c:pt>
                <c:pt idx="2">
                  <c:v>Europe</c:v>
                </c:pt>
                <c:pt idx="3">
                  <c:v>North America</c:v>
                </c:pt>
                <c:pt idx="4">
                  <c:v>Oceania</c:v>
                </c:pt>
                <c:pt idx="5">
                  <c:v>South America</c:v>
                </c:pt>
              </c:strCache>
            </c:strRef>
          </c:cat>
          <c:val>
            <c:numRef>
              <c:f>population_data!$AF$5:$AF$11</c:f>
              <c:numCache>
                <c:formatCode>General</c:formatCode>
                <c:ptCount val="6"/>
                <c:pt idx="0">
                  <c:v>1426730.9330000002</c:v>
                </c:pt>
                <c:pt idx="1">
                  <c:v>4721383.2740000002</c:v>
                </c:pt>
                <c:pt idx="2">
                  <c:v>743147.53799999994</c:v>
                </c:pt>
                <c:pt idx="3">
                  <c:v>600296.13599999994</c:v>
                </c:pt>
                <c:pt idx="4">
                  <c:v>45038.553999999996</c:v>
                </c:pt>
                <c:pt idx="5">
                  <c:v>436816.60799999995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4404224"/>
        <c:axId val="244407296"/>
        <c:axId val="0"/>
      </c:bar3DChart>
      <c:catAx>
        <c:axId val="2444042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44407296"/>
        <c:crosses val="autoZero"/>
        <c:auto val="1"/>
        <c:lblAlgn val="ctr"/>
        <c:lblOffset val="100"/>
        <c:noMultiLvlLbl val="0"/>
      </c:catAx>
      <c:valAx>
        <c:axId val="2444072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44404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[projectpopulation.xlsm]population_data!PivotTable4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population_data!$X$18</c:f>
              <c:strCache>
                <c:ptCount val="1"/>
                <c:pt idx="0">
                  <c:v>Sum of pop2050</c:v>
                </c:pt>
              </c:strCache>
            </c:strRef>
          </c:tx>
          <c:invertIfNegative val="0"/>
          <c:cat>
            <c:strRef>
              <c:f>population_data!$W$19:$W$253</c:f>
              <c:strCache>
                <c:ptCount val="234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American Samoa</c:v>
                </c:pt>
                <c:pt idx="4">
                  <c:v>Andorra</c:v>
                </c:pt>
                <c:pt idx="5">
                  <c:v>Angola</c:v>
                </c:pt>
                <c:pt idx="6">
                  <c:v>Anguilla</c:v>
                </c:pt>
                <c:pt idx="7">
                  <c:v>Antigua and Barbuda</c:v>
                </c:pt>
                <c:pt idx="8">
                  <c:v>Argentina</c:v>
                </c:pt>
                <c:pt idx="9">
                  <c:v>Armenia</c:v>
                </c:pt>
                <c:pt idx="10">
                  <c:v>Aruba</c:v>
                </c:pt>
                <c:pt idx="11">
                  <c:v>Australia</c:v>
                </c:pt>
                <c:pt idx="12">
                  <c:v>Austria</c:v>
                </c:pt>
                <c:pt idx="13">
                  <c:v>Azerbaijan</c:v>
                </c:pt>
                <c:pt idx="14">
                  <c:v>Bahamas</c:v>
                </c:pt>
                <c:pt idx="15">
                  <c:v>Bahrain</c:v>
                </c:pt>
                <c:pt idx="16">
                  <c:v>Bangladesh</c:v>
                </c:pt>
                <c:pt idx="17">
                  <c:v>Barbados</c:v>
                </c:pt>
                <c:pt idx="18">
                  <c:v>Belarus</c:v>
                </c:pt>
                <c:pt idx="19">
                  <c:v>Belgium</c:v>
                </c:pt>
                <c:pt idx="20">
                  <c:v>Belize</c:v>
                </c:pt>
                <c:pt idx="21">
                  <c:v>Benin</c:v>
                </c:pt>
                <c:pt idx="22">
                  <c:v>Bermuda</c:v>
                </c:pt>
                <c:pt idx="23">
                  <c:v>Bhutan</c:v>
                </c:pt>
                <c:pt idx="24">
                  <c:v>Bolivia</c:v>
                </c:pt>
                <c:pt idx="25">
                  <c:v>Bosnia and Herzegovina</c:v>
                </c:pt>
                <c:pt idx="26">
                  <c:v>Botswana</c:v>
                </c:pt>
                <c:pt idx="27">
                  <c:v>Brazil</c:v>
                </c:pt>
                <c:pt idx="28">
                  <c:v>British Virgin Islands</c:v>
                </c:pt>
                <c:pt idx="29">
                  <c:v>Brunei</c:v>
                </c:pt>
                <c:pt idx="30">
                  <c:v>Bulgaria</c:v>
                </c:pt>
                <c:pt idx="31">
                  <c:v>Burkina Faso</c:v>
                </c:pt>
                <c:pt idx="32">
                  <c:v>Burundi</c:v>
                </c:pt>
                <c:pt idx="33">
                  <c:v>Cambodia</c:v>
                </c:pt>
                <c:pt idx="34">
                  <c:v>Cameroon</c:v>
                </c:pt>
                <c:pt idx="35">
                  <c:v>Canada</c:v>
                </c:pt>
                <c:pt idx="36">
                  <c:v>Cape Verde</c:v>
                </c:pt>
                <c:pt idx="37">
                  <c:v>Cayman Islands</c:v>
                </c:pt>
                <c:pt idx="38">
                  <c:v>Central African Republic</c:v>
                </c:pt>
                <c:pt idx="39">
                  <c:v>Chad</c:v>
                </c:pt>
                <c:pt idx="40">
                  <c:v>Chile</c:v>
                </c:pt>
                <c:pt idx="41">
                  <c:v>China</c:v>
                </c:pt>
                <c:pt idx="42">
                  <c:v>Colombia</c:v>
                </c:pt>
                <c:pt idx="43">
                  <c:v>Comoros</c:v>
                </c:pt>
                <c:pt idx="44">
                  <c:v>Cook Islands</c:v>
                </c:pt>
                <c:pt idx="45">
                  <c:v>Costa Rica</c:v>
                </c:pt>
                <c:pt idx="46">
                  <c:v>Croatia</c:v>
                </c:pt>
                <c:pt idx="47">
                  <c:v>Cuba</c:v>
                </c:pt>
                <c:pt idx="48">
                  <c:v>Curacao</c:v>
                </c:pt>
                <c:pt idx="49">
                  <c:v>Cyprus</c:v>
                </c:pt>
                <c:pt idx="50">
                  <c:v>Czech Republic</c:v>
                </c:pt>
                <c:pt idx="51">
                  <c:v>Denmark</c:v>
                </c:pt>
                <c:pt idx="52">
                  <c:v>Djibouti</c:v>
                </c:pt>
                <c:pt idx="53">
                  <c:v>Dominica</c:v>
                </c:pt>
                <c:pt idx="54">
                  <c:v>Dominican Republic</c:v>
                </c:pt>
                <c:pt idx="55">
                  <c:v>DR Congo</c:v>
                </c:pt>
                <c:pt idx="56">
                  <c:v>Ecuador</c:v>
                </c:pt>
                <c:pt idx="57">
                  <c:v>Egypt</c:v>
                </c:pt>
                <c:pt idx="58">
                  <c:v>El Salvador</c:v>
                </c:pt>
                <c:pt idx="59">
                  <c:v>Equatorial Guinea</c:v>
                </c:pt>
                <c:pt idx="60">
                  <c:v>Eritrea</c:v>
                </c:pt>
                <c:pt idx="61">
                  <c:v>Estonia</c:v>
                </c:pt>
                <c:pt idx="62">
                  <c:v>Eswatini</c:v>
                </c:pt>
                <c:pt idx="63">
                  <c:v>Ethiopia</c:v>
                </c:pt>
                <c:pt idx="64">
                  <c:v>Falkland Islands</c:v>
                </c:pt>
                <c:pt idx="65">
                  <c:v>Faroe Islands</c:v>
                </c:pt>
                <c:pt idx="66">
                  <c:v>Fiji</c:v>
                </c:pt>
                <c:pt idx="67">
                  <c:v>Finland</c:v>
                </c:pt>
                <c:pt idx="68">
                  <c:v>France</c:v>
                </c:pt>
                <c:pt idx="69">
                  <c:v>French Guiana</c:v>
                </c:pt>
                <c:pt idx="70">
                  <c:v>French Polynesia</c:v>
                </c:pt>
                <c:pt idx="71">
                  <c:v>Gabon</c:v>
                </c:pt>
                <c:pt idx="72">
                  <c:v>Gambia</c:v>
                </c:pt>
                <c:pt idx="73">
                  <c:v>Georgia</c:v>
                </c:pt>
                <c:pt idx="74">
                  <c:v>Germany</c:v>
                </c:pt>
                <c:pt idx="75">
                  <c:v>Ghana</c:v>
                </c:pt>
                <c:pt idx="76">
                  <c:v>Gibraltar</c:v>
                </c:pt>
                <c:pt idx="77">
                  <c:v>Greece</c:v>
                </c:pt>
                <c:pt idx="78">
                  <c:v>Greenland</c:v>
                </c:pt>
                <c:pt idx="79">
                  <c:v>Grenada</c:v>
                </c:pt>
                <c:pt idx="80">
                  <c:v>Guadeloupe</c:v>
                </c:pt>
                <c:pt idx="81">
                  <c:v>Guam</c:v>
                </c:pt>
                <c:pt idx="82">
                  <c:v>Guatemala</c:v>
                </c:pt>
                <c:pt idx="83">
                  <c:v>Guernsey</c:v>
                </c:pt>
                <c:pt idx="84">
                  <c:v>Guinea</c:v>
                </c:pt>
                <c:pt idx="85">
                  <c:v>Guinea-Bissau</c:v>
                </c:pt>
                <c:pt idx="86">
                  <c:v>Guyana</c:v>
                </c:pt>
                <c:pt idx="87">
                  <c:v>Haiti</c:v>
                </c:pt>
                <c:pt idx="88">
                  <c:v>Honduras</c:v>
                </c:pt>
                <c:pt idx="89">
                  <c:v>Hong Kong</c:v>
                </c:pt>
                <c:pt idx="90">
                  <c:v>Hungary</c:v>
                </c:pt>
                <c:pt idx="91">
                  <c:v>Iceland</c:v>
                </c:pt>
                <c:pt idx="92">
                  <c:v>India</c:v>
                </c:pt>
                <c:pt idx="93">
                  <c:v>Indonesia</c:v>
                </c:pt>
                <c:pt idx="94">
                  <c:v>Iran</c:v>
                </c:pt>
                <c:pt idx="95">
                  <c:v>Iraq</c:v>
                </c:pt>
                <c:pt idx="96">
                  <c:v>Ireland</c:v>
                </c:pt>
                <c:pt idx="97">
                  <c:v>Isle of Man</c:v>
                </c:pt>
                <c:pt idx="98">
                  <c:v>Israel</c:v>
                </c:pt>
                <c:pt idx="99">
                  <c:v>Italy</c:v>
                </c:pt>
                <c:pt idx="100">
                  <c:v>Ivory Coast</c:v>
                </c:pt>
                <c:pt idx="101">
                  <c:v>Jamaica</c:v>
                </c:pt>
                <c:pt idx="102">
                  <c:v>Japan</c:v>
                </c:pt>
                <c:pt idx="103">
                  <c:v>Jersey</c:v>
                </c:pt>
                <c:pt idx="104">
                  <c:v>Jordan</c:v>
                </c:pt>
                <c:pt idx="105">
                  <c:v>Kazakhstan</c:v>
                </c:pt>
                <c:pt idx="106">
                  <c:v>Kenya</c:v>
                </c:pt>
                <c:pt idx="107">
                  <c:v>Kiribati</c:v>
                </c:pt>
                <c:pt idx="108">
                  <c:v>Kuwait</c:v>
                </c:pt>
                <c:pt idx="109">
                  <c:v>Kyrgyzstan</c:v>
                </c:pt>
                <c:pt idx="110">
                  <c:v>Laos</c:v>
                </c:pt>
                <c:pt idx="111">
                  <c:v>Latvia</c:v>
                </c:pt>
                <c:pt idx="112">
                  <c:v>Lebanon</c:v>
                </c:pt>
                <c:pt idx="113">
                  <c:v>Lesotho</c:v>
                </c:pt>
                <c:pt idx="114">
                  <c:v>Liberia</c:v>
                </c:pt>
                <c:pt idx="115">
                  <c:v>Libya</c:v>
                </c:pt>
                <c:pt idx="116">
                  <c:v>Liechtenstein</c:v>
                </c:pt>
                <c:pt idx="117">
                  <c:v>Lithuania</c:v>
                </c:pt>
                <c:pt idx="118">
                  <c:v>Luxembourg</c:v>
                </c:pt>
                <c:pt idx="119">
                  <c:v>Macau</c:v>
                </c:pt>
                <c:pt idx="120">
                  <c:v>Madagascar</c:v>
                </c:pt>
                <c:pt idx="121">
                  <c:v>Malawi</c:v>
                </c:pt>
                <c:pt idx="122">
                  <c:v>Malaysia</c:v>
                </c:pt>
                <c:pt idx="123">
                  <c:v>Maldives</c:v>
                </c:pt>
                <c:pt idx="124">
                  <c:v>Mali</c:v>
                </c:pt>
                <c:pt idx="125">
                  <c:v>Malta</c:v>
                </c:pt>
                <c:pt idx="126">
                  <c:v>Marshall Islands</c:v>
                </c:pt>
                <c:pt idx="127">
                  <c:v>Martinique</c:v>
                </c:pt>
                <c:pt idx="128">
                  <c:v>Mauritania</c:v>
                </c:pt>
                <c:pt idx="129">
                  <c:v>Mauritius</c:v>
                </c:pt>
                <c:pt idx="130">
                  <c:v>Mayotte</c:v>
                </c:pt>
                <c:pt idx="131">
                  <c:v>Mexico</c:v>
                </c:pt>
                <c:pt idx="132">
                  <c:v>Micronesia</c:v>
                </c:pt>
                <c:pt idx="133">
                  <c:v>Moldova</c:v>
                </c:pt>
                <c:pt idx="134">
                  <c:v>Monaco</c:v>
                </c:pt>
                <c:pt idx="135">
                  <c:v>Mongolia</c:v>
                </c:pt>
                <c:pt idx="136">
                  <c:v>Montenegro</c:v>
                </c:pt>
                <c:pt idx="137">
                  <c:v>Montserrat</c:v>
                </c:pt>
                <c:pt idx="138">
                  <c:v>Morocco</c:v>
                </c:pt>
                <c:pt idx="139">
                  <c:v>Mozambique</c:v>
                </c:pt>
                <c:pt idx="140">
                  <c:v>Myanmar</c:v>
                </c:pt>
                <c:pt idx="141">
                  <c:v>Namibia</c:v>
                </c:pt>
                <c:pt idx="142">
                  <c:v>Nauru</c:v>
                </c:pt>
                <c:pt idx="143">
                  <c:v>Nepal</c:v>
                </c:pt>
                <c:pt idx="144">
                  <c:v>Netherlands</c:v>
                </c:pt>
                <c:pt idx="145">
                  <c:v>New Caledonia</c:v>
                </c:pt>
                <c:pt idx="146">
                  <c:v>New Zealand</c:v>
                </c:pt>
                <c:pt idx="147">
                  <c:v>Nicaragua</c:v>
                </c:pt>
                <c:pt idx="148">
                  <c:v>Niger</c:v>
                </c:pt>
                <c:pt idx="149">
                  <c:v>Nigeria</c:v>
                </c:pt>
                <c:pt idx="150">
                  <c:v>Niue</c:v>
                </c:pt>
                <c:pt idx="151">
                  <c:v>North Korea</c:v>
                </c:pt>
                <c:pt idx="152">
                  <c:v>North Macedonia</c:v>
                </c:pt>
                <c:pt idx="153">
                  <c:v>Northern Mariana Islands</c:v>
                </c:pt>
                <c:pt idx="154">
                  <c:v>Norway</c:v>
                </c:pt>
                <c:pt idx="155">
                  <c:v>Oman</c:v>
                </c:pt>
                <c:pt idx="156">
                  <c:v>Pakistan</c:v>
                </c:pt>
                <c:pt idx="157">
                  <c:v>Palau</c:v>
                </c:pt>
                <c:pt idx="158">
                  <c:v>Palestine</c:v>
                </c:pt>
                <c:pt idx="159">
                  <c:v>Panama</c:v>
                </c:pt>
                <c:pt idx="160">
                  <c:v>Papua New Guinea</c:v>
                </c:pt>
                <c:pt idx="161">
                  <c:v>Paraguay</c:v>
                </c:pt>
                <c:pt idx="162">
                  <c:v>Peru</c:v>
                </c:pt>
                <c:pt idx="163">
                  <c:v>Philippines</c:v>
                </c:pt>
                <c:pt idx="164">
                  <c:v>Poland</c:v>
                </c:pt>
                <c:pt idx="165">
                  <c:v>Portugal</c:v>
                </c:pt>
                <c:pt idx="166">
                  <c:v>Puerto Rico</c:v>
                </c:pt>
                <c:pt idx="167">
                  <c:v>Qatar</c:v>
                </c:pt>
                <c:pt idx="168">
                  <c:v>Republic of the Congo</c:v>
                </c:pt>
                <c:pt idx="169">
                  <c:v>Reunion</c:v>
                </c:pt>
                <c:pt idx="170">
                  <c:v>Romania</c:v>
                </c:pt>
                <c:pt idx="171">
                  <c:v>Russia</c:v>
                </c:pt>
                <c:pt idx="172">
                  <c:v>Rwanda</c:v>
                </c:pt>
                <c:pt idx="173">
                  <c:v>Saint Barthelemy</c:v>
                </c:pt>
                <c:pt idx="174">
                  <c:v>Saint Kitts and Nevis</c:v>
                </c:pt>
                <c:pt idx="175">
                  <c:v>Saint Lucia</c:v>
                </c:pt>
                <c:pt idx="176">
                  <c:v>Saint Martin</c:v>
                </c:pt>
                <c:pt idx="177">
                  <c:v>Saint Pierre and Miquelon</c:v>
                </c:pt>
                <c:pt idx="178">
                  <c:v>Saint Vincent and the Grenadines</c:v>
                </c:pt>
                <c:pt idx="179">
                  <c:v>Samoa</c:v>
                </c:pt>
                <c:pt idx="180">
                  <c:v>San Marino</c:v>
                </c:pt>
                <c:pt idx="181">
                  <c:v>Sao Tome and Principe</c:v>
                </c:pt>
                <c:pt idx="182">
                  <c:v>Saudi Arabia</c:v>
                </c:pt>
                <c:pt idx="183">
                  <c:v>Senegal</c:v>
                </c:pt>
                <c:pt idx="184">
                  <c:v>Serbia</c:v>
                </c:pt>
                <c:pt idx="185">
                  <c:v>Seychelles</c:v>
                </c:pt>
                <c:pt idx="186">
                  <c:v>Sierra Leone</c:v>
                </c:pt>
                <c:pt idx="187">
                  <c:v>Singapore</c:v>
                </c:pt>
                <c:pt idx="188">
                  <c:v>Sint Maarten</c:v>
                </c:pt>
                <c:pt idx="189">
                  <c:v>Slovakia</c:v>
                </c:pt>
                <c:pt idx="190">
                  <c:v>Slovenia</c:v>
                </c:pt>
                <c:pt idx="191">
                  <c:v>Solomon Islands</c:v>
                </c:pt>
                <c:pt idx="192">
                  <c:v>Somalia</c:v>
                </c:pt>
                <c:pt idx="193">
                  <c:v>South Africa</c:v>
                </c:pt>
                <c:pt idx="194">
                  <c:v>South Korea</c:v>
                </c:pt>
                <c:pt idx="195">
                  <c:v>South Sudan</c:v>
                </c:pt>
                <c:pt idx="196">
                  <c:v>Spain</c:v>
                </c:pt>
                <c:pt idx="197">
                  <c:v>Sri Lanka</c:v>
                </c:pt>
                <c:pt idx="198">
                  <c:v>Sudan</c:v>
                </c:pt>
                <c:pt idx="199">
                  <c:v>Suriname</c:v>
                </c:pt>
                <c:pt idx="200">
                  <c:v>Sweden</c:v>
                </c:pt>
                <c:pt idx="201">
                  <c:v>Switzerland</c:v>
                </c:pt>
                <c:pt idx="202">
                  <c:v>Syria</c:v>
                </c:pt>
                <c:pt idx="203">
                  <c:v>Taiwan</c:v>
                </c:pt>
                <c:pt idx="204">
                  <c:v>Tajikistan</c:v>
                </c:pt>
                <c:pt idx="205">
                  <c:v>Tanzania</c:v>
                </c:pt>
                <c:pt idx="206">
                  <c:v>Thailand</c:v>
                </c:pt>
                <c:pt idx="207">
                  <c:v>Timor-Leste</c:v>
                </c:pt>
                <c:pt idx="208">
                  <c:v>Togo</c:v>
                </c:pt>
                <c:pt idx="209">
                  <c:v>Tokelau</c:v>
                </c:pt>
                <c:pt idx="210">
                  <c:v>Tonga</c:v>
                </c:pt>
                <c:pt idx="211">
                  <c:v>Trinidad and Tobago</c:v>
                </c:pt>
                <c:pt idx="212">
                  <c:v>Tunisia</c:v>
                </c:pt>
                <c:pt idx="213">
                  <c:v>Turkey</c:v>
                </c:pt>
                <c:pt idx="214">
                  <c:v>Turkmenistan</c:v>
                </c:pt>
                <c:pt idx="215">
                  <c:v>Turks and Caicos Islands</c:v>
                </c:pt>
                <c:pt idx="216">
                  <c:v>Tuvalu</c:v>
                </c:pt>
                <c:pt idx="217">
                  <c:v>Uganda</c:v>
                </c:pt>
                <c:pt idx="218">
                  <c:v>Ukraine</c:v>
                </c:pt>
                <c:pt idx="219">
                  <c:v>United Arab Emirates</c:v>
                </c:pt>
                <c:pt idx="220">
                  <c:v>United Kingdom</c:v>
                </c:pt>
                <c:pt idx="221">
                  <c:v>United States</c:v>
                </c:pt>
                <c:pt idx="222">
                  <c:v>United States Virgin Islands</c:v>
                </c:pt>
                <c:pt idx="223">
                  <c:v>Uruguay</c:v>
                </c:pt>
                <c:pt idx="224">
                  <c:v>Uzbekistan</c:v>
                </c:pt>
                <c:pt idx="225">
                  <c:v>Vanuatu</c:v>
                </c:pt>
                <c:pt idx="226">
                  <c:v>Vatican City</c:v>
                </c:pt>
                <c:pt idx="227">
                  <c:v>Venezuela</c:v>
                </c:pt>
                <c:pt idx="228">
                  <c:v>Vietnam</c:v>
                </c:pt>
                <c:pt idx="229">
                  <c:v>Wallis and Futuna</c:v>
                </c:pt>
                <c:pt idx="230">
                  <c:v>Western Sahara</c:v>
                </c:pt>
                <c:pt idx="231">
                  <c:v>Yemen</c:v>
                </c:pt>
                <c:pt idx="232">
                  <c:v>Zambia</c:v>
                </c:pt>
                <c:pt idx="233">
                  <c:v>Zimbabwe</c:v>
                </c:pt>
              </c:strCache>
            </c:strRef>
          </c:cat>
          <c:val>
            <c:numRef>
              <c:f>population_data!$X$19:$X$253</c:f>
              <c:numCache>
                <c:formatCode>General</c:formatCode>
                <c:ptCount val="234"/>
                <c:pt idx="0">
                  <c:v>74075.233999999997</c:v>
                </c:pt>
                <c:pt idx="1">
                  <c:v>2456.4720000000002</c:v>
                </c:pt>
                <c:pt idx="2">
                  <c:v>60001.112999999998</c:v>
                </c:pt>
                <c:pt idx="3">
                  <c:v>33.557000000000002</c:v>
                </c:pt>
                <c:pt idx="4">
                  <c:v>80.504000000000005</c:v>
                </c:pt>
                <c:pt idx="5">
                  <c:v>72328.067999999999</c:v>
                </c:pt>
                <c:pt idx="6">
                  <c:v>15.294</c:v>
                </c:pt>
                <c:pt idx="7">
                  <c:v>99.03</c:v>
                </c:pt>
                <c:pt idx="8">
                  <c:v>51621.175000000003</c:v>
                </c:pt>
                <c:pt idx="9">
                  <c:v>2573.4650000000001</c:v>
                </c:pt>
                <c:pt idx="10">
                  <c:v>94.185000000000002</c:v>
                </c:pt>
                <c:pt idx="11">
                  <c:v>32192.919000000002</c:v>
                </c:pt>
                <c:pt idx="12">
                  <c:v>8924.19</c:v>
                </c:pt>
                <c:pt idx="13">
                  <c:v>10867.296</c:v>
                </c:pt>
                <c:pt idx="14">
                  <c:v>450.625</c:v>
                </c:pt>
                <c:pt idx="15">
                  <c:v>1809.2370000000001</c:v>
                </c:pt>
                <c:pt idx="16">
                  <c:v>203904.9</c:v>
                </c:pt>
                <c:pt idx="17">
                  <c:v>267.78800000000001</c:v>
                </c:pt>
                <c:pt idx="18">
                  <c:v>8409.6319999999996</c:v>
                </c:pt>
                <c:pt idx="19">
                  <c:v>12090.656999999999</c:v>
                </c:pt>
                <c:pt idx="20">
                  <c:v>538.83799999999997</c:v>
                </c:pt>
                <c:pt idx="21">
                  <c:v>25264.035</c:v>
                </c:pt>
                <c:pt idx="22">
                  <c:v>56.040999999999997</c:v>
                </c:pt>
                <c:pt idx="23">
                  <c:v>874.29399999999998</c:v>
                </c:pt>
                <c:pt idx="24">
                  <c:v>16609.853999999999</c:v>
                </c:pt>
                <c:pt idx="25">
                  <c:v>2739.0140000000001</c:v>
                </c:pt>
                <c:pt idx="26">
                  <c:v>3679.34</c:v>
                </c:pt>
                <c:pt idx="27">
                  <c:v>230885.72500000001</c:v>
                </c:pt>
                <c:pt idx="28">
                  <c:v>34.768000000000001</c:v>
                </c:pt>
                <c:pt idx="29">
                  <c:v>498.37299999999999</c:v>
                </c:pt>
                <c:pt idx="30">
                  <c:v>5187.3919999999998</c:v>
                </c:pt>
                <c:pt idx="31">
                  <c:v>40541.548000000003</c:v>
                </c:pt>
                <c:pt idx="32">
                  <c:v>24208.670999999998</c:v>
                </c:pt>
                <c:pt idx="33">
                  <c:v>20258.435000000001</c:v>
                </c:pt>
                <c:pt idx="34">
                  <c:v>51279.56</c:v>
                </c:pt>
                <c:pt idx="35">
                  <c:v>45890.819000000003</c:v>
                </c:pt>
                <c:pt idx="36">
                  <c:v>727.45699999999999</c:v>
                </c:pt>
                <c:pt idx="37">
                  <c:v>77.632999999999996</c:v>
                </c:pt>
                <c:pt idx="38">
                  <c:v>11533.423000000001</c:v>
                </c:pt>
                <c:pt idx="39">
                  <c:v>36452.035000000003</c:v>
                </c:pt>
                <c:pt idx="40">
                  <c:v>20675.378000000001</c:v>
                </c:pt>
                <c:pt idx="41">
                  <c:v>1312636.325</c:v>
                </c:pt>
                <c:pt idx="42">
                  <c:v>56987.650999999998</c:v>
                </c:pt>
                <c:pt idx="43">
                  <c:v>1246.2070000000001</c:v>
                </c:pt>
                <c:pt idx="44">
                  <c:v>17.673999999999999</c:v>
                </c:pt>
                <c:pt idx="45">
                  <c:v>5702.5249999999996</c:v>
                </c:pt>
                <c:pt idx="46">
                  <c:v>3333.4250000000002</c:v>
                </c:pt>
                <c:pt idx="47">
                  <c:v>10028.084999999999</c:v>
                </c:pt>
                <c:pt idx="48">
                  <c:v>204.084</c:v>
                </c:pt>
                <c:pt idx="49">
                  <c:v>1391.7850000000001</c:v>
                </c:pt>
                <c:pt idx="50">
                  <c:v>10577.126</c:v>
                </c:pt>
                <c:pt idx="51">
                  <c:v>6445.1090000000004</c:v>
                </c:pt>
                <c:pt idx="52">
                  <c:v>1502.575</c:v>
                </c:pt>
                <c:pt idx="53">
                  <c:v>74.167000000000002</c:v>
                </c:pt>
                <c:pt idx="54">
                  <c:v>13180.540999999999</c:v>
                </c:pt>
                <c:pt idx="55">
                  <c:v>217494.003</c:v>
                </c:pt>
                <c:pt idx="56">
                  <c:v>22269.778999999999</c:v>
                </c:pt>
                <c:pt idx="57">
                  <c:v>160339.889</c:v>
                </c:pt>
                <c:pt idx="58">
                  <c:v>6636.8540000000003</c:v>
                </c:pt>
                <c:pt idx="59">
                  <c:v>2790.5329999999999</c:v>
                </c:pt>
                <c:pt idx="60">
                  <c:v>5964.0209999999997</c:v>
                </c:pt>
                <c:pt idx="61">
                  <c:v>1171.6949999999999</c:v>
                </c:pt>
                <c:pt idx="62">
                  <c:v>1655.1210000000001</c:v>
                </c:pt>
                <c:pt idx="63">
                  <c:v>214812.30900000001</c:v>
                </c:pt>
                <c:pt idx="64">
                  <c:v>3.7789999999999999</c:v>
                </c:pt>
                <c:pt idx="65">
                  <c:v>59.444000000000003</c:v>
                </c:pt>
                <c:pt idx="66">
                  <c:v>1094.174</c:v>
                </c:pt>
                <c:pt idx="67">
                  <c:v>5460.9170000000004</c:v>
                </c:pt>
                <c:pt idx="68">
                  <c:v>65827.072</c:v>
                </c:pt>
                <c:pt idx="69">
                  <c:v>532.45899999999995</c:v>
                </c:pt>
                <c:pt idx="70">
                  <c:v>346.93299999999999</c:v>
                </c:pt>
                <c:pt idx="71">
                  <c:v>3757.0529999999999</c:v>
                </c:pt>
                <c:pt idx="72">
                  <c:v>4673.7430000000004</c:v>
                </c:pt>
                <c:pt idx="73">
                  <c:v>3384.66</c:v>
                </c:pt>
                <c:pt idx="74">
                  <c:v>78932.228000000003</c:v>
                </c:pt>
                <c:pt idx="75">
                  <c:v>52231.785000000003</c:v>
                </c:pt>
                <c:pt idx="76">
                  <c:v>31.356000000000002</c:v>
                </c:pt>
                <c:pt idx="77">
                  <c:v>9144.9509999999991</c:v>
                </c:pt>
                <c:pt idx="78">
                  <c:v>53.997</c:v>
                </c:pt>
                <c:pt idx="79">
                  <c:v>136.25299999999999</c:v>
                </c:pt>
                <c:pt idx="80">
                  <c:v>388.86099999999999</c:v>
                </c:pt>
                <c:pt idx="81">
                  <c:v>195.673</c:v>
                </c:pt>
                <c:pt idx="82">
                  <c:v>24600.726999999999</c:v>
                </c:pt>
                <c:pt idx="83">
                  <c:v>66.495999999999995</c:v>
                </c:pt>
                <c:pt idx="84">
                  <c:v>23711.7</c:v>
                </c:pt>
                <c:pt idx="85">
                  <c:v>3445.2890000000002</c:v>
                </c:pt>
                <c:pt idx="86">
                  <c:v>878.74599999999998</c:v>
                </c:pt>
                <c:pt idx="87">
                  <c:v>15087.52</c:v>
                </c:pt>
                <c:pt idx="88">
                  <c:v>14258.513999999999</c:v>
                </c:pt>
                <c:pt idx="89">
                  <c:v>6975.3909999999996</c:v>
                </c:pt>
                <c:pt idx="90">
                  <c:v>8817.3960000000006</c:v>
                </c:pt>
                <c:pt idx="91">
                  <c:v>408.78300000000002</c:v>
                </c:pt>
                <c:pt idx="92">
                  <c:v>1670490.5959999999</c:v>
                </c:pt>
                <c:pt idx="93">
                  <c:v>317225.21299999999</c:v>
                </c:pt>
                <c:pt idx="94">
                  <c:v>99007.203999999998</c:v>
                </c:pt>
                <c:pt idx="95">
                  <c:v>74515.14</c:v>
                </c:pt>
                <c:pt idx="96">
                  <c:v>5724.6859999999997</c:v>
                </c:pt>
                <c:pt idx="97">
                  <c:v>86.68</c:v>
                </c:pt>
                <c:pt idx="98">
                  <c:v>12991.79</c:v>
                </c:pt>
                <c:pt idx="99">
                  <c:v>52250.483999999997</c:v>
                </c:pt>
                <c:pt idx="100">
                  <c:v>51358.243000000002</c:v>
                </c:pt>
                <c:pt idx="101">
                  <c:v>2493.8229999999999</c:v>
                </c:pt>
                <c:pt idx="102">
                  <c:v>103784.357</c:v>
                </c:pt>
                <c:pt idx="103">
                  <c:v>135.441</c:v>
                </c:pt>
                <c:pt idx="104">
                  <c:v>15005.941000000001</c:v>
                </c:pt>
                <c:pt idx="105">
                  <c:v>25609.977999999999</c:v>
                </c:pt>
                <c:pt idx="106">
                  <c:v>85211.739000000001</c:v>
                </c:pt>
                <c:pt idx="107">
                  <c:v>188.57</c:v>
                </c:pt>
                <c:pt idx="108">
                  <c:v>5155.4139999999998</c:v>
                </c:pt>
                <c:pt idx="109">
                  <c:v>9426.8580000000002</c:v>
                </c:pt>
                <c:pt idx="110">
                  <c:v>9775.5519999999997</c:v>
                </c:pt>
                <c:pt idx="111">
                  <c:v>1433.7280000000001</c:v>
                </c:pt>
                <c:pt idx="112">
                  <c:v>4937.5789999999997</c:v>
                </c:pt>
                <c:pt idx="113">
                  <c:v>2898.3690000000001</c:v>
                </c:pt>
                <c:pt idx="114">
                  <c:v>8890.7000000000007</c:v>
                </c:pt>
                <c:pt idx="115">
                  <c:v>8539.9760000000006</c:v>
                </c:pt>
                <c:pt idx="116">
                  <c:v>42.286999999999999</c:v>
                </c:pt>
                <c:pt idx="117">
                  <c:v>2187.5500000000002</c:v>
                </c:pt>
                <c:pt idx="118">
                  <c:v>781.91</c:v>
                </c:pt>
                <c:pt idx="119">
                  <c:v>881.66600000000005</c:v>
                </c:pt>
                <c:pt idx="120">
                  <c:v>51592.964999999997</c:v>
                </c:pt>
                <c:pt idx="121">
                  <c:v>37159.300000000003</c:v>
                </c:pt>
                <c:pt idx="122">
                  <c:v>41032.432999999997</c:v>
                </c:pt>
                <c:pt idx="123">
                  <c:v>569.90899999999999</c:v>
                </c:pt>
                <c:pt idx="124">
                  <c:v>47439.802000000003</c:v>
                </c:pt>
                <c:pt idx="125">
                  <c:v>522.73699999999997</c:v>
                </c:pt>
                <c:pt idx="126">
                  <c:v>51.210999999999999</c:v>
                </c:pt>
                <c:pt idx="127">
                  <c:v>330.12099999999998</c:v>
                </c:pt>
                <c:pt idx="128">
                  <c:v>8914.6730000000007</c:v>
                </c:pt>
                <c:pt idx="129">
                  <c:v>1226.2349999999999</c:v>
                </c:pt>
                <c:pt idx="130">
                  <c:v>664.14099999999996</c:v>
                </c:pt>
                <c:pt idx="131">
                  <c:v>143772.364</c:v>
                </c:pt>
                <c:pt idx="132">
                  <c:v>135.45699999999999</c:v>
                </c:pt>
                <c:pt idx="133">
                  <c:v>2997.5320000000002</c:v>
                </c:pt>
                <c:pt idx="134">
                  <c:v>37.664000000000001</c:v>
                </c:pt>
                <c:pt idx="135">
                  <c:v>4518.8559999999998</c:v>
                </c:pt>
                <c:pt idx="136">
                  <c:v>586.38499999999999</c:v>
                </c:pt>
                <c:pt idx="137">
                  <c:v>3.7810000000000001</c:v>
                </c:pt>
                <c:pt idx="138">
                  <c:v>45044.99</c:v>
                </c:pt>
                <c:pt idx="139">
                  <c:v>63044.497000000003</c:v>
                </c:pt>
                <c:pt idx="140">
                  <c:v>59929.398999999998</c:v>
                </c:pt>
                <c:pt idx="141">
                  <c:v>3779.9180000000001</c:v>
                </c:pt>
                <c:pt idx="142">
                  <c:v>14.695</c:v>
                </c:pt>
                <c:pt idx="143">
                  <c:v>37401.364999999998</c:v>
                </c:pt>
                <c:pt idx="144">
                  <c:v>17897.025000000001</c:v>
                </c:pt>
                <c:pt idx="145">
                  <c:v>353.19099999999997</c:v>
                </c:pt>
                <c:pt idx="146">
                  <c:v>5949.0020000000004</c:v>
                </c:pt>
                <c:pt idx="147">
                  <c:v>9094.6409999999996</c:v>
                </c:pt>
                <c:pt idx="148">
                  <c:v>67043.296000000002</c:v>
                </c:pt>
                <c:pt idx="149">
                  <c:v>377459.88299999997</c:v>
                </c:pt>
                <c:pt idx="150">
                  <c:v>2.0960000000000001</c:v>
                </c:pt>
                <c:pt idx="151">
                  <c:v>25807.197</c:v>
                </c:pt>
                <c:pt idx="152">
                  <c:v>1909.309</c:v>
                </c:pt>
                <c:pt idx="153">
                  <c:v>50.05</c:v>
                </c:pt>
                <c:pt idx="154">
                  <c:v>6367.5590000000002</c:v>
                </c:pt>
                <c:pt idx="155">
                  <c:v>6328.9780000000001</c:v>
                </c:pt>
                <c:pt idx="156">
                  <c:v>367808.46799999999</c:v>
                </c:pt>
                <c:pt idx="157">
                  <c:v>16.689</c:v>
                </c:pt>
                <c:pt idx="158">
                  <c:v>8861.7469999999994</c:v>
                </c:pt>
                <c:pt idx="159">
                  <c:v>5736.1210000000001</c:v>
                </c:pt>
                <c:pt idx="160">
                  <c:v>14910.369000000001</c:v>
                </c:pt>
                <c:pt idx="161">
                  <c:v>8591.4860000000008</c:v>
                </c:pt>
                <c:pt idx="162">
                  <c:v>42022.553999999996</c:v>
                </c:pt>
                <c:pt idx="163">
                  <c:v>157891.622</c:v>
                </c:pt>
                <c:pt idx="164">
                  <c:v>34932.339</c:v>
                </c:pt>
                <c:pt idx="165">
                  <c:v>9261.3050000000003</c:v>
                </c:pt>
                <c:pt idx="166">
                  <c:v>2727.6239999999998</c:v>
                </c:pt>
                <c:pt idx="167">
                  <c:v>3358.4540000000002</c:v>
                </c:pt>
                <c:pt idx="168">
                  <c:v>10378.912</c:v>
                </c:pt>
                <c:pt idx="169">
                  <c:v>1127.252</c:v>
                </c:pt>
                <c:pt idx="170">
                  <c:v>17457.213</c:v>
                </c:pt>
                <c:pt idx="171">
                  <c:v>133133.035</c:v>
                </c:pt>
                <c:pt idx="172">
                  <c:v>23030.045999999998</c:v>
                </c:pt>
                <c:pt idx="173">
                  <c:v>10.210000000000001</c:v>
                </c:pt>
                <c:pt idx="174">
                  <c:v>46.881999999999998</c:v>
                </c:pt>
                <c:pt idx="175">
                  <c:v>177.85599999999999</c:v>
                </c:pt>
                <c:pt idx="176">
                  <c:v>35.453000000000003</c:v>
                </c:pt>
                <c:pt idx="177">
                  <c:v>5.165</c:v>
                </c:pt>
                <c:pt idx="178">
                  <c:v>101.691</c:v>
                </c:pt>
                <c:pt idx="179">
                  <c:v>320.01600000000002</c:v>
                </c:pt>
                <c:pt idx="180">
                  <c:v>32.043999999999997</c:v>
                </c:pt>
                <c:pt idx="181">
                  <c:v>366.66300000000001</c:v>
                </c:pt>
                <c:pt idx="182">
                  <c:v>48374.542999999998</c:v>
                </c:pt>
                <c:pt idx="183">
                  <c:v>32562.868999999999</c:v>
                </c:pt>
                <c:pt idx="184">
                  <c:v>5777.8059999999996</c:v>
                </c:pt>
                <c:pt idx="185">
                  <c:v>116.64400000000001</c:v>
                </c:pt>
                <c:pt idx="186">
                  <c:v>13595.022999999999</c:v>
                </c:pt>
                <c:pt idx="187">
                  <c:v>6337.2349999999997</c:v>
                </c:pt>
                <c:pt idx="188">
                  <c:v>38.947000000000003</c:v>
                </c:pt>
                <c:pt idx="189">
                  <c:v>5186.9669999999996</c:v>
                </c:pt>
                <c:pt idx="190">
                  <c:v>2003.258</c:v>
                </c:pt>
                <c:pt idx="191">
                  <c:v>1225.4069999999999</c:v>
                </c:pt>
                <c:pt idx="192">
                  <c:v>36462.83</c:v>
                </c:pt>
                <c:pt idx="193">
                  <c:v>73529.752999999997</c:v>
                </c:pt>
                <c:pt idx="194">
                  <c:v>45770.874000000003</c:v>
                </c:pt>
                <c:pt idx="195">
                  <c:v>17460.846000000001</c:v>
                </c:pt>
                <c:pt idx="196">
                  <c:v>44219.565000000002</c:v>
                </c:pt>
                <c:pt idx="197">
                  <c:v>21814.985000000001</c:v>
                </c:pt>
                <c:pt idx="198">
                  <c:v>84494.269</c:v>
                </c:pt>
                <c:pt idx="199">
                  <c:v>725.51900000000001</c:v>
                </c:pt>
                <c:pt idx="200">
                  <c:v>11902.032999999999</c:v>
                </c:pt>
                <c:pt idx="201">
                  <c:v>9753.7530000000006</c:v>
                </c:pt>
                <c:pt idx="202">
                  <c:v>38306.374000000003</c:v>
                </c:pt>
                <c:pt idx="203">
                  <c:v>22445.526000000002</c:v>
                </c:pt>
                <c:pt idx="204">
                  <c:v>15200.989</c:v>
                </c:pt>
                <c:pt idx="205">
                  <c:v>129931.52</c:v>
                </c:pt>
                <c:pt idx="206">
                  <c:v>67880.082999999999</c:v>
                </c:pt>
                <c:pt idx="207">
                  <c:v>1806.8689999999999</c:v>
                </c:pt>
                <c:pt idx="208">
                  <c:v>15478.883</c:v>
                </c:pt>
                <c:pt idx="209">
                  <c:v>2.4300000000000002</c:v>
                </c:pt>
                <c:pt idx="210">
                  <c:v>131.22499999999999</c:v>
                </c:pt>
                <c:pt idx="211">
                  <c:v>1485.1389999999999</c:v>
                </c:pt>
                <c:pt idx="212">
                  <c:v>14315.779</c:v>
                </c:pt>
                <c:pt idx="213">
                  <c:v>95829.258000000002</c:v>
                </c:pt>
                <c:pt idx="214">
                  <c:v>8263.8330000000005</c:v>
                </c:pt>
                <c:pt idx="215">
                  <c:v>52.865000000000002</c:v>
                </c:pt>
                <c:pt idx="216">
                  <c:v>13.211</c:v>
                </c:pt>
                <c:pt idx="217">
                  <c:v>87622.081000000006</c:v>
                </c:pt>
                <c:pt idx="218">
                  <c:v>32867.718999999997</c:v>
                </c:pt>
                <c:pt idx="219">
                  <c:v>11449.471</c:v>
                </c:pt>
                <c:pt idx="220">
                  <c:v>71684.966</c:v>
                </c:pt>
                <c:pt idx="221">
                  <c:v>375391.96299999999</c:v>
                </c:pt>
                <c:pt idx="222">
                  <c:v>77.519000000000005</c:v>
                </c:pt>
                <c:pt idx="223">
                  <c:v>3337.143</c:v>
                </c:pt>
                <c:pt idx="224">
                  <c:v>45593.148999999998</c:v>
                </c:pt>
                <c:pt idx="225">
                  <c:v>578.56700000000001</c:v>
                </c:pt>
                <c:pt idx="226">
                  <c:v>0.73099999999999998</c:v>
                </c:pt>
                <c:pt idx="227">
                  <c:v>35937.404000000002</c:v>
                </c:pt>
                <c:pt idx="228">
                  <c:v>107012.939</c:v>
                </c:pt>
                <c:pt idx="229">
                  <c:v>11.349</c:v>
                </c:pt>
                <c:pt idx="230">
                  <c:v>851.06700000000001</c:v>
                </c:pt>
                <c:pt idx="231">
                  <c:v>55296.330999999998</c:v>
                </c:pt>
                <c:pt idx="232">
                  <c:v>37460.434999999998</c:v>
                </c:pt>
                <c:pt idx="233">
                  <c:v>26438.589</c:v>
                </c:pt>
              </c:numCache>
            </c:numRef>
          </c:val>
        </c:ser>
        <c:ser>
          <c:idx val="1"/>
          <c:order val="1"/>
          <c:tx>
            <c:strRef>
              <c:f>population_data!$Y$18</c:f>
              <c:strCache>
                <c:ptCount val="1"/>
                <c:pt idx="0">
                  <c:v>Sum of pop2030</c:v>
                </c:pt>
              </c:strCache>
            </c:strRef>
          </c:tx>
          <c:invertIfNegative val="0"/>
          <c:cat>
            <c:strRef>
              <c:f>population_data!$W$19:$W$253</c:f>
              <c:strCache>
                <c:ptCount val="234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American Samoa</c:v>
                </c:pt>
                <c:pt idx="4">
                  <c:v>Andorra</c:v>
                </c:pt>
                <c:pt idx="5">
                  <c:v>Angola</c:v>
                </c:pt>
                <c:pt idx="6">
                  <c:v>Anguilla</c:v>
                </c:pt>
                <c:pt idx="7">
                  <c:v>Antigua and Barbuda</c:v>
                </c:pt>
                <c:pt idx="8">
                  <c:v>Argentina</c:v>
                </c:pt>
                <c:pt idx="9">
                  <c:v>Armenia</c:v>
                </c:pt>
                <c:pt idx="10">
                  <c:v>Aruba</c:v>
                </c:pt>
                <c:pt idx="11">
                  <c:v>Australia</c:v>
                </c:pt>
                <c:pt idx="12">
                  <c:v>Austria</c:v>
                </c:pt>
                <c:pt idx="13">
                  <c:v>Azerbaijan</c:v>
                </c:pt>
                <c:pt idx="14">
                  <c:v>Bahamas</c:v>
                </c:pt>
                <c:pt idx="15">
                  <c:v>Bahrain</c:v>
                </c:pt>
                <c:pt idx="16">
                  <c:v>Bangladesh</c:v>
                </c:pt>
                <c:pt idx="17">
                  <c:v>Barbados</c:v>
                </c:pt>
                <c:pt idx="18">
                  <c:v>Belarus</c:v>
                </c:pt>
                <c:pt idx="19">
                  <c:v>Belgium</c:v>
                </c:pt>
                <c:pt idx="20">
                  <c:v>Belize</c:v>
                </c:pt>
                <c:pt idx="21">
                  <c:v>Benin</c:v>
                </c:pt>
                <c:pt idx="22">
                  <c:v>Bermuda</c:v>
                </c:pt>
                <c:pt idx="23">
                  <c:v>Bhutan</c:v>
                </c:pt>
                <c:pt idx="24">
                  <c:v>Bolivia</c:v>
                </c:pt>
                <c:pt idx="25">
                  <c:v>Bosnia and Herzegovina</c:v>
                </c:pt>
                <c:pt idx="26">
                  <c:v>Botswana</c:v>
                </c:pt>
                <c:pt idx="27">
                  <c:v>Brazil</c:v>
                </c:pt>
                <c:pt idx="28">
                  <c:v>British Virgin Islands</c:v>
                </c:pt>
                <c:pt idx="29">
                  <c:v>Brunei</c:v>
                </c:pt>
                <c:pt idx="30">
                  <c:v>Bulgaria</c:v>
                </c:pt>
                <c:pt idx="31">
                  <c:v>Burkina Faso</c:v>
                </c:pt>
                <c:pt idx="32">
                  <c:v>Burundi</c:v>
                </c:pt>
                <c:pt idx="33">
                  <c:v>Cambodia</c:v>
                </c:pt>
                <c:pt idx="34">
                  <c:v>Cameroon</c:v>
                </c:pt>
                <c:pt idx="35">
                  <c:v>Canada</c:v>
                </c:pt>
                <c:pt idx="36">
                  <c:v>Cape Verde</c:v>
                </c:pt>
                <c:pt idx="37">
                  <c:v>Cayman Islands</c:v>
                </c:pt>
                <c:pt idx="38">
                  <c:v>Central African Republic</c:v>
                </c:pt>
                <c:pt idx="39">
                  <c:v>Chad</c:v>
                </c:pt>
                <c:pt idx="40">
                  <c:v>Chile</c:v>
                </c:pt>
                <c:pt idx="41">
                  <c:v>China</c:v>
                </c:pt>
                <c:pt idx="42">
                  <c:v>Colombia</c:v>
                </c:pt>
                <c:pt idx="43">
                  <c:v>Comoros</c:v>
                </c:pt>
                <c:pt idx="44">
                  <c:v>Cook Islands</c:v>
                </c:pt>
                <c:pt idx="45">
                  <c:v>Costa Rica</c:v>
                </c:pt>
                <c:pt idx="46">
                  <c:v>Croatia</c:v>
                </c:pt>
                <c:pt idx="47">
                  <c:v>Cuba</c:v>
                </c:pt>
                <c:pt idx="48">
                  <c:v>Curacao</c:v>
                </c:pt>
                <c:pt idx="49">
                  <c:v>Cyprus</c:v>
                </c:pt>
                <c:pt idx="50">
                  <c:v>Czech Republic</c:v>
                </c:pt>
                <c:pt idx="51">
                  <c:v>Denmark</c:v>
                </c:pt>
                <c:pt idx="52">
                  <c:v>Djibouti</c:v>
                </c:pt>
                <c:pt idx="53">
                  <c:v>Dominica</c:v>
                </c:pt>
                <c:pt idx="54">
                  <c:v>Dominican Republic</c:v>
                </c:pt>
                <c:pt idx="55">
                  <c:v>DR Congo</c:v>
                </c:pt>
                <c:pt idx="56">
                  <c:v>Ecuador</c:v>
                </c:pt>
                <c:pt idx="57">
                  <c:v>Egypt</c:v>
                </c:pt>
                <c:pt idx="58">
                  <c:v>El Salvador</c:v>
                </c:pt>
                <c:pt idx="59">
                  <c:v>Equatorial Guinea</c:v>
                </c:pt>
                <c:pt idx="60">
                  <c:v>Eritrea</c:v>
                </c:pt>
                <c:pt idx="61">
                  <c:v>Estonia</c:v>
                </c:pt>
                <c:pt idx="62">
                  <c:v>Eswatini</c:v>
                </c:pt>
                <c:pt idx="63">
                  <c:v>Ethiopia</c:v>
                </c:pt>
                <c:pt idx="64">
                  <c:v>Falkland Islands</c:v>
                </c:pt>
                <c:pt idx="65">
                  <c:v>Faroe Islands</c:v>
                </c:pt>
                <c:pt idx="66">
                  <c:v>Fiji</c:v>
                </c:pt>
                <c:pt idx="67">
                  <c:v>Finland</c:v>
                </c:pt>
                <c:pt idx="68">
                  <c:v>France</c:v>
                </c:pt>
                <c:pt idx="69">
                  <c:v>French Guiana</c:v>
                </c:pt>
                <c:pt idx="70">
                  <c:v>French Polynesia</c:v>
                </c:pt>
                <c:pt idx="71">
                  <c:v>Gabon</c:v>
                </c:pt>
                <c:pt idx="72">
                  <c:v>Gambia</c:v>
                </c:pt>
                <c:pt idx="73">
                  <c:v>Georgia</c:v>
                </c:pt>
                <c:pt idx="74">
                  <c:v>Germany</c:v>
                </c:pt>
                <c:pt idx="75">
                  <c:v>Ghana</c:v>
                </c:pt>
                <c:pt idx="76">
                  <c:v>Gibraltar</c:v>
                </c:pt>
                <c:pt idx="77">
                  <c:v>Greece</c:v>
                </c:pt>
                <c:pt idx="78">
                  <c:v>Greenland</c:v>
                </c:pt>
                <c:pt idx="79">
                  <c:v>Grenada</c:v>
                </c:pt>
                <c:pt idx="80">
                  <c:v>Guadeloupe</c:v>
                </c:pt>
                <c:pt idx="81">
                  <c:v>Guam</c:v>
                </c:pt>
                <c:pt idx="82">
                  <c:v>Guatemala</c:v>
                </c:pt>
                <c:pt idx="83">
                  <c:v>Guernsey</c:v>
                </c:pt>
                <c:pt idx="84">
                  <c:v>Guinea</c:v>
                </c:pt>
                <c:pt idx="85">
                  <c:v>Guinea-Bissau</c:v>
                </c:pt>
                <c:pt idx="86">
                  <c:v>Guyana</c:v>
                </c:pt>
                <c:pt idx="87">
                  <c:v>Haiti</c:v>
                </c:pt>
                <c:pt idx="88">
                  <c:v>Honduras</c:v>
                </c:pt>
                <c:pt idx="89">
                  <c:v>Hong Kong</c:v>
                </c:pt>
                <c:pt idx="90">
                  <c:v>Hungary</c:v>
                </c:pt>
                <c:pt idx="91">
                  <c:v>Iceland</c:v>
                </c:pt>
                <c:pt idx="92">
                  <c:v>India</c:v>
                </c:pt>
                <c:pt idx="93">
                  <c:v>Indonesia</c:v>
                </c:pt>
                <c:pt idx="94">
                  <c:v>Iran</c:v>
                </c:pt>
                <c:pt idx="95">
                  <c:v>Iraq</c:v>
                </c:pt>
                <c:pt idx="96">
                  <c:v>Ireland</c:v>
                </c:pt>
                <c:pt idx="97">
                  <c:v>Isle of Man</c:v>
                </c:pt>
                <c:pt idx="98">
                  <c:v>Israel</c:v>
                </c:pt>
                <c:pt idx="99">
                  <c:v>Italy</c:v>
                </c:pt>
                <c:pt idx="100">
                  <c:v>Ivory Coast</c:v>
                </c:pt>
                <c:pt idx="101">
                  <c:v>Jamaica</c:v>
                </c:pt>
                <c:pt idx="102">
                  <c:v>Japan</c:v>
                </c:pt>
                <c:pt idx="103">
                  <c:v>Jersey</c:v>
                </c:pt>
                <c:pt idx="104">
                  <c:v>Jordan</c:v>
                </c:pt>
                <c:pt idx="105">
                  <c:v>Kazakhstan</c:v>
                </c:pt>
                <c:pt idx="106">
                  <c:v>Kenya</c:v>
                </c:pt>
                <c:pt idx="107">
                  <c:v>Kiribati</c:v>
                </c:pt>
                <c:pt idx="108">
                  <c:v>Kuwait</c:v>
                </c:pt>
                <c:pt idx="109">
                  <c:v>Kyrgyzstan</c:v>
                </c:pt>
                <c:pt idx="110">
                  <c:v>Laos</c:v>
                </c:pt>
                <c:pt idx="111">
                  <c:v>Latvia</c:v>
                </c:pt>
                <c:pt idx="112">
                  <c:v>Lebanon</c:v>
                </c:pt>
                <c:pt idx="113">
                  <c:v>Lesotho</c:v>
                </c:pt>
                <c:pt idx="114">
                  <c:v>Liberia</c:v>
                </c:pt>
                <c:pt idx="115">
                  <c:v>Libya</c:v>
                </c:pt>
                <c:pt idx="116">
                  <c:v>Liechtenstein</c:v>
                </c:pt>
                <c:pt idx="117">
                  <c:v>Lithuania</c:v>
                </c:pt>
                <c:pt idx="118">
                  <c:v>Luxembourg</c:v>
                </c:pt>
                <c:pt idx="119">
                  <c:v>Macau</c:v>
                </c:pt>
                <c:pt idx="120">
                  <c:v>Madagascar</c:v>
                </c:pt>
                <c:pt idx="121">
                  <c:v>Malawi</c:v>
                </c:pt>
                <c:pt idx="122">
                  <c:v>Malaysia</c:v>
                </c:pt>
                <c:pt idx="123">
                  <c:v>Maldives</c:v>
                </c:pt>
                <c:pt idx="124">
                  <c:v>Mali</c:v>
                </c:pt>
                <c:pt idx="125">
                  <c:v>Malta</c:v>
                </c:pt>
                <c:pt idx="126">
                  <c:v>Marshall Islands</c:v>
                </c:pt>
                <c:pt idx="127">
                  <c:v>Martinique</c:v>
                </c:pt>
                <c:pt idx="128">
                  <c:v>Mauritania</c:v>
                </c:pt>
                <c:pt idx="129">
                  <c:v>Mauritius</c:v>
                </c:pt>
                <c:pt idx="130">
                  <c:v>Mayotte</c:v>
                </c:pt>
                <c:pt idx="131">
                  <c:v>Mexico</c:v>
                </c:pt>
                <c:pt idx="132">
                  <c:v>Micronesia</c:v>
                </c:pt>
                <c:pt idx="133">
                  <c:v>Moldova</c:v>
                </c:pt>
                <c:pt idx="134">
                  <c:v>Monaco</c:v>
                </c:pt>
                <c:pt idx="135">
                  <c:v>Mongolia</c:v>
                </c:pt>
                <c:pt idx="136">
                  <c:v>Montenegro</c:v>
                </c:pt>
                <c:pt idx="137">
                  <c:v>Montserrat</c:v>
                </c:pt>
                <c:pt idx="138">
                  <c:v>Morocco</c:v>
                </c:pt>
                <c:pt idx="139">
                  <c:v>Mozambique</c:v>
                </c:pt>
                <c:pt idx="140">
                  <c:v>Myanmar</c:v>
                </c:pt>
                <c:pt idx="141">
                  <c:v>Namibia</c:v>
                </c:pt>
                <c:pt idx="142">
                  <c:v>Nauru</c:v>
                </c:pt>
                <c:pt idx="143">
                  <c:v>Nepal</c:v>
                </c:pt>
                <c:pt idx="144">
                  <c:v>Netherlands</c:v>
                </c:pt>
                <c:pt idx="145">
                  <c:v>New Caledonia</c:v>
                </c:pt>
                <c:pt idx="146">
                  <c:v>New Zealand</c:v>
                </c:pt>
                <c:pt idx="147">
                  <c:v>Nicaragua</c:v>
                </c:pt>
                <c:pt idx="148">
                  <c:v>Niger</c:v>
                </c:pt>
                <c:pt idx="149">
                  <c:v>Nigeria</c:v>
                </c:pt>
                <c:pt idx="150">
                  <c:v>Niue</c:v>
                </c:pt>
                <c:pt idx="151">
                  <c:v>North Korea</c:v>
                </c:pt>
                <c:pt idx="152">
                  <c:v>North Macedonia</c:v>
                </c:pt>
                <c:pt idx="153">
                  <c:v>Northern Mariana Islands</c:v>
                </c:pt>
                <c:pt idx="154">
                  <c:v>Norway</c:v>
                </c:pt>
                <c:pt idx="155">
                  <c:v>Oman</c:v>
                </c:pt>
                <c:pt idx="156">
                  <c:v>Pakistan</c:v>
                </c:pt>
                <c:pt idx="157">
                  <c:v>Palau</c:v>
                </c:pt>
                <c:pt idx="158">
                  <c:v>Palestine</c:v>
                </c:pt>
                <c:pt idx="159">
                  <c:v>Panama</c:v>
                </c:pt>
                <c:pt idx="160">
                  <c:v>Papua New Guinea</c:v>
                </c:pt>
                <c:pt idx="161">
                  <c:v>Paraguay</c:v>
                </c:pt>
                <c:pt idx="162">
                  <c:v>Peru</c:v>
                </c:pt>
                <c:pt idx="163">
                  <c:v>Philippines</c:v>
                </c:pt>
                <c:pt idx="164">
                  <c:v>Poland</c:v>
                </c:pt>
                <c:pt idx="165">
                  <c:v>Portugal</c:v>
                </c:pt>
                <c:pt idx="166">
                  <c:v>Puerto Rico</c:v>
                </c:pt>
                <c:pt idx="167">
                  <c:v>Qatar</c:v>
                </c:pt>
                <c:pt idx="168">
                  <c:v>Republic of the Congo</c:v>
                </c:pt>
                <c:pt idx="169">
                  <c:v>Reunion</c:v>
                </c:pt>
                <c:pt idx="170">
                  <c:v>Romania</c:v>
                </c:pt>
                <c:pt idx="171">
                  <c:v>Russia</c:v>
                </c:pt>
                <c:pt idx="172">
                  <c:v>Rwanda</c:v>
                </c:pt>
                <c:pt idx="173">
                  <c:v>Saint Barthelemy</c:v>
                </c:pt>
                <c:pt idx="174">
                  <c:v>Saint Kitts and Nevis</c:v>
                </c:pt>
                <c:pt idx="175">
                  <c:v>Saint Lucia</c:v>
                </c:pt>
                <c:pt idx="176">
                  <c:v>Saint Martin</c:v>
                </c:pt>
                <c:pt idx="177">
                  <c:v>Saint Pierre and Miquelon</c:v>
                </c:pt>
                <c:pt idx="178">
                  <c:v>Saint Vincent and the Grenadines</c:v>
                </c:pt>
                <c:pt idx="179">
                  <c:v>Samoa</c:v>
                </c:pt>
                <c:pt idx="180">
                  <c:v>San Marino</c:v>
                </c:pt>
                <c:pt idx="181">
                  <c:v>Sao Tome and Principe</c:v>
                </c:pt>
                <c:pt idx="182">
                  <c:v>Saudi Arabia</c:v>
                </c:pt>
                <c:pt idx="183">
                  <c:v>Senegal</c:v>
                </c:pt>
                <c:pt idx="184">
                  <c:v>Serbia</c:v>
                </c:pt>
                <c:pt idx="185">
                  <c:v>Seychelles</c:v>
                </c:pt>
                <c:pt idx="186">
                  <c:v>Sierra Leone</c:v>
                </c:pt>
                <c:pt idx="187">
                  <c:v>Singapore</c:v>
                </c:pt>
                <c:pt idx="188">
                  <c:v>Sint Maarten</c:v>
                </c:pt>
                <c:pt idx="189">
                  <c:v>Slovakia</c:v>
                </c:pt>
                <c:pt idx="190">
                  <c:v>Slovenia</c:v>
                </c:pt>
                <c:pt idx="191">
                  <c:v>Solomon Islands</c:v>
                </c:pt>
                <c:pt idx="192">
                  <c:v>Somalia</c:v>
                </c:pt>
                <c:pt idx="193">
                  <c:v>South Africa</c:v>
                </c:pt>
                <c:pt idx="194">
                  <c:v>South Korea</c:v>
                </c:pt>
                <c:pt idx="195">
                  <c:v>South Sudan</c:v>
                </c:pt>
                <c:pt idx="196">
                  <c:v>Spain</c:v>
                </c:pt>
                <c:pt idx="197">
                  <c:v>Sri Lanka</c:v>
                </c:pt>
                <c:pt idx="198">
                  <c:v>Sudan</c:v>
                </c:pt>
                <c:pt idx="199">
                  <c:v>Suriname</c:v>
                </c:pt>
                <c:pt idx="200">
                  <c:v>Sweden</c:v>
                </c:pt>
                <c:pt idx="201">
                  <c:v>Switzerland</c:v>
                </c:pt>
                <c:pt idx="202">
                  <c:v>Syria</c:v>
                </c:pt>
                <c:pt idx="203">
                  <c:v>Taiwan</c:v>
                </c:pt>
                <c:pt idx="204">
                  <c:v>Tajikistan</c:v>
                </c:pt>
                <c:pt idx="205">
                  <c:v>Tanzania</c:v>
                </c:pt>
                <c:pt idx="206">
                  <c:v>Thailand</c:v>
                </c:pt>
                <c:pt idx="207">
                  <c:v>Timor-Leste</c:v>
                </c:pt>
                <c:pt idx="208">
                  <c:v>Togo</c:v>
                </c:pt>
                <c:pt idx="209">
                  <c:v>Tokelau</c:v>
                </c:pt>
                <c:pt idx="210">
                  <c:v>Tonga</c:v>
                </c:pt>
                <c:pt idx="211">
                  <c:v>Trinidad and Tobago</c:v>
                </c:pt>
                <c:pt idx="212">
                  <c:v>Tunisia</c:v>
                </c:pt>
                <c:pt idx="213">
                  <c:v>Turkey</c:v>
                </c:pt>
                <c:pt idx="214">
                  <c:v>Turkmenistan</c:v>
                </c:pt>
                <c:pt idx="215">
                  <c:v>Turks and Caicos Islands</c:v>
                </c:pt>
                <c:pt idx="216">
                  <c:v>Tuvalu</c:v>
                </c:pt>
                <c:pt idx="217">
                  <c:v>Uganda</c:v>
                </c:pt>
                <c:pt idx="218">
                  <c:v>Ukraine</c:v>
                </c:pt>
                <c:pt idx="219">
                  <c:v>United Arab Emirates</c:v>
                </c:pt>
                <c:pt idx="220">
                  <c:v>United Kingdom</c:v>
                </c:pt>
                <c:pt idx="221">
                  <c:v>United States</c:v>
                </c:pt>
                <c:pt idx="222">
                  <c:v>United States Virgin Islands</c:v>
                </c:pt>
                <c:pt idx="223">
                  <c:v>Uruguay</c:v>
                </c:pt>
                <c:pt idx="224">
                  <c:v>Uzbekistan</c:v>
                </c:pt>
                <c:pt idx="225">
                  <c:v>Vanuatu</c:v>
                </c:pt>
                <c:pt idx="226">
                  <c:v>Vatican City</c:v>
                </c:pt>
                <c:pt idx="227">
                  <c:v>Venezuela</c:v>
                </c:pt>
                <c:pt idx="228">
                  <c:v>Vietnam</c:v>
                </c:pt>
                <c:pt idx="229">
                  <c:v>Wallis and Futuna</c:v>
                </c:pt>
                <c:pt idx="230">
                  <c:v>Western Sahara</c:v>
                </c:pt>
                <c:pt idx="231">
                  <c:v>Yemen</c:v>
                </c:pt>
                <c:pt idx="232">
                  <c:v>Zambia</c:v>
                </c:pt>
                <c:pt idx="233">
                  <c:v>Zimbabwe</c:v>
                </c:pt>
              </c:strCache>
            </c:strRef>
          </c:cat>
          <c:val>
            <c:numRef>
              <c:f>population_data!$Y$19:$Y$253</c:f>
              <c:numCache>
                <c:formatCode>General</c:formatCode>
                <c:ptCount val="234"/>
                <c:pt idx="0">
                  <c:v>50330.837</c:v>
                </c:pt>
                <c:pt idx="1">
                  <c:v>2789.5990000000002</c:v>
                </c:pt>
                <c:pt idx="2">
                  <c:v>49787.283000000003</c:v>
                </c:pt>
                <c:pt idx="3">
                  <c:v>41.142000000000003</c:v>
                </c:pt>
                <c:pt idx="4">
                  <c:v>81.528000000000006</c:v>
                </c:pt>
                <c:pt idx="5">
                  <c:v>44911.663999999997</c:v>
                </c:pt>
                <c:pt idx="6">
                  <c:v>16.055</c:v>
                </c:pt>
                <c:pt idx="7">
                  <c:v>97.51</c:v>
                </c:pt>
                <c:pt idx="8">
                  <c:v>47678.559999999998</c:v>
                </c:pt>
                <c:pt idx="9">
                  <c:v>2759.5279999999998</c:v>
                </c:pt>
                <c:pt idx="10">
                  <c:v>104.92400000000001</c:v>
                </c:pt>
                <c:pt idx="11">
                  <c:v>28202.414000000001</c:v>
                </c:pt>
                <c:pt idx="12">
                  <c:v>9054.5759999999991</c:v>
                </c:pt>
                <c:pt idx="13">
                  <c:v>10711.138000000001</c:v>
                </c:pt>
                <c:pt idx="14">
                  <c:v>429.846</c:v>
                </c:pt>
                <c:pt idx="15">
                  <c:v>1574.6790000000001</c:v>
                </c:pt>
                <c:pt idx="16">
                  <c:v>184424.144</c:v>
                </c:pt>
                <c:pt idx="17">
                  <c:v>283.08199999999999</c:v>
                </c:pt>
                <c:pt idx="18">
                  <c:v>9206.17</c:v>
                </c:pt>
                <c:pt idx="19">
                  <c:v>11873.46</c:v>
                </c:pt>
                <c:pt idx="20">
                  <c:v>450.428</c:v>
                </c:pt>
                <c:pt idx="21">
                  <c:v>16393.827000000001</c:v>
                </c:pt>
                <c:pt idx="22">
                  <c:v>62.805999999999997</c:v>
                </c:pt>
                <c:pt idx="23">
                  <c:v>821.49800000000005</c:v>
                </c:pt>
                <c:pt idx="24">
                  <c:v>13625.507</c:v>
                </c:pt>
                <c:pt idx="25">
                  <c:v>3111.7890000000002</c:v>
                </c:pt>
                <c:pt idx="26">
                  <c:v>2972.2710000000002</c:v>
                </c:pt>
                <c:pt idx="27">
                  <c:v>223908.96799999999</c:v>
                </c:pt>
                <c:pt idx="28">
                  <c:v>32.994999999999997</c:v>
                </c:pt>
                <c:pt idx="29">
                  <c:v>473.31200000000001</c:v>
                </c:pt>
                <c:pt idx="30">
                  <c:v>6290.1660000000002</c:v>
                </c:pt>
                <c:pt idx="31">
                  <c:v>27523.562999999998</c:v>
                </c:pt>
                <c:pt idx="32">
                  <c:v>15800.53</c:v>
                </c:pt>
                <c:pt idx="33">
                  <c:v>18084.248</c:v>
                </c:pt>
                <c:pt idx="34">
                  <c:v>34051.103000000003</c:v>
                </c:pt>
                <c:pt idx="35">
                  <c:v>41008.595999999998</c:v>
                </c:pt>
                <c:pt idx="36">
                  <c:v>638.84</c:v>
                </c:pt>
                <c:pt idx="37">
                  <c:v>72.864999999999995</c:v>
                </c:pt>
                <c:pt idx="38">
                  <c:v>7104.2740000000003</c:v>
                </c:pt>
                <c:pt idx="39">
                  <c:v>22460.393</c:v>
                </c:pt>
                <c:pt idx="40">
                  <c:v>19933.769</c:v>
                </c:pt>
                <c:pt idx="41">
                  <c:v>1415605.906</c:v>
                </c:pt>
                <c:pt idx="42">
                  <c:v>54129.764000000003</c:v>
                </c:pt>
                <c:pt idx="43">
                  <c:v>959.41200000000003</c:v>
                </c:pt>
                <c:pt idx="44">
                  <c:v>17.253</c:v>
                </c:pt>
                <c:pt idx="45">
                  <c:v>5432.2430000000004</c:v>
                </c:pt>
                <c:pt idx="46">
                  <c:v>3850.14</c:v>
                </c:pt>
                <c:pt idx="47">
                  <c:v>11016.040999999999</c:v>
                </c:pt>
                <c:pt idx="48">
                  <c:v>197.82900000000001</c:v>
                </c:pt>
                <c:pt idx="49">
                  <c:v>1311.7840000000001</c:v>
                </c:pt>
                <c:pt idx="50">
                  <c:v>10515.199000000001</c:v>
                </c:pt>
                <c:pt idx="51">
                  <c:v>6104.4740000000002</c:v>
                </c:pt>
                <c:pt idx="52">
                  <c:v>1247.1289999999999</c:v>
                </c:pt>
                <c:pt idx="53">
                  <c:v>74.988</c:v>
                </c:pt>
                <c:pt idx="54">
                  <c:v>11982.522999999999</c:v>
                </c:pt>
                <c:pt idx="55">
                  <c:v>127582.053</c:v>
                </c:pt>
                <c:pt idx="56">
                  <c:v>19486.952000000001</c:v>
                </c:pt>
                <c:pt idx="57">
                  <c:v>125151.72500000001</c:v>
                </c:pt>
                <c:pt idx="58">
                  <c:v>6554.2240000000002</c:v>
                </c:pt>
                <c:pt idx="59">
                  <c:v>1999.6780000000001</c:v>
                </c:pt>
                <c:pt idx="60">
                  <c:v>4283.3549999999996</c:v>
                </c:pt>
                <c:pt idx="61">
                  <c:v>1289.441</c:v>
                </c:pt>
                <c:pt idx="62">
                  <c:v>1305.9849999999999</c:v>
                </c:pt>
                <c:pt idx="63">
                  <c:v>149296.378</c:v>
                </c:pt>
                <c:pt idx="64">
                  <c:v>3.8690000000000002</c:v>
                </c:pt>
                <c:pt idx="65">
                  <c:v>54.582999999999998</c:v>
                </c:pt>
                <c:pt idx="66">
                  <c:v>986.17200000000003</c:v>
                </c:pt>
                <c:pt idx="67">
                  <c:v>5565.4750000000004</c:v>
                </c:pt>
                <c:pt idx="68">
                  <c:v>65543.452000000005</c:v>
                </c:pt>
                <c:pt idx="69">
                  <c:v>366.66899999999998</c:v>
                </c:pt>
                <c:pt idx="70">
                  <c:v>324.86</c:v>
                </c:pt>
                <c:pt idx="71">
                  <c:v>2774.5230000000001</c:v>
                </c:pt>
                <c:pt idx="72">
                  <c:v>3263.6509999999998</c:v>
                </c:pt>
                <c:pt idx="73">
                  <c:v>3657.4940000000001</c:v>
                </c:pt>
                <c:pt idx="74">
                  <c:v>82762.675000000003</c:v>
                </c:pt>
                <c:pt idx="75">
                  <c:v>38775.85</c:v>
                </c:pt>
                <c:pt idx="76">
                  <c:v>32.771000000000001</c:v>
                </c:pt>
                <c:pt idx="77">
                  <c:v>10059.703</c:v>
                </c:pt>
                <c:pt idx="78">
                  <c:v>57.152000000000001</c:v>
                </c:pt>
                <c:pt idx="79">
                  <c:v>130.36699999999999</c:v>
                </c:pt>
                <c:pt idx="80">
                  <c:v>399.72800000000001</c:v>
                </c:pt>
                <c:pt idx="81">
                  <c:v>180.74600000000001</c:v>
                </c:pt>
                <c:pt idx="82">
                  <c:v>20003.637999999999</c:v>
                </c:pt>
                <c:pt idx="83">
                  <c:v>65.141000000000005</c:v>
                </c:pt>
                <c:pt idx="84">
                  <c:v>16622.387999999999</c:v>
                </c:pt>
                <c:pt idx="85">
                  <c:v>2484.8629999999998</c:v>
                </c:pt>
                <c:pt idx="86">
                  <c:v>848.03300000000002</c:v>
                </c:pt>
                <c:pt idx="87">
                  <c:v>12700.005999999999</c:v>
                </c:pt>
                <c:pt idx="88">
                  <c:v>11724.522000000001</c:v>
                </c:pt>
                <c:pt idx="89">
                  <c:v>7485.8869999999997</c:v>
                </c:pt>
                <c:pt idx="90">
                  <c:v>9642.9120000000003</c:v>
                </c:pt>
                <c:pt idx="91">
                  <c:v>390.33800000000002</c:v>
                </c:pt>
                <c:pt idx="92">
                  <c:v>1514994.08</c:v>
                </c:pt>
                <c:pt idx="93">
                  <c:v>292150.09999999998</c:v>
                </c:pt>
                <c:pt idx="94">
                  <c:v>92921.017000000007</c:v>
                </c:pt>
                <c:pt idx="95">
                  <c:v>52800.824999999997</c:v>
                </c:pt>
                <c:pt idx="96">
                  <c:v>5266.8810000000003</c:v>
                </c:pt>
                <c:pt idx="97">
                  <c:v>85.798000000000002</c:v>
                </c:pt>
                <c:pt idx="98">
                  <c:v>10134.950999999999</c:v>
                </c:pt>
                <c:pt idx="99">
                  <c:v>57544.258000000002</c:v>
                </c:pt>
                <c:pt idx="100">
                  <c:v>34211.271999999997</c:v>
                </c:pt>
                <c:pt idx="101">
                  <c:v>2804.3560000000002</c:v>
                </c:pt>
                <c:pt idx="102">
                  <c:v>118514.802</c:v>
                </c:pt>
                <c:pt idx="103">
                  <c:v>119.047</c:v>
                </c:pt>
                <c:pt idx="104">
                  <c:v>11933.395</c:v>
                </c:pt>
                <c:pt idx="105">
                  <c:v>21128.221000000001</c:v>
                </c:pt>
                <c:pt idx="106">
                  <c:v>63103.942000000003</c:v>
                </c:pt>
                <c:pt idx="107">
                  <c:v>148.72</c:v>
                </c:pt>
                <c:pt idx="108">
                  <c:v>4564.57</c:v>
                </c:pt>
                <c:pt idx="109">
                  <c:v>7435.3779999999997</c:v>
                </c:pt>
                <c:pt idx="110">
                  <c:v>8321.2870000000003</c:v>
                </c:pt>
                <c:pt idx="111">
                  <c:v>1701.338</c:v>
                </c:pt>
                <c:pt idx="112">
                  <c:v>4714.24</c:v>
                </c:pt>
                <c:pt idx="113">
                  <c:v>2501.9459999999999</c:v>
                </c:pt>
                <c:pt idx="114">
                  <c:v>6282.0739999999996</c:v>
                </c:pt>
                <c:pt idx="115">
                  <c:v>7394.8130000000001</c:v>
                </c:pt>
                <c:pt idx="116">
                  <c:v>41.03</c:v>
                </c:pt>
                <c:pt idx="117">
                  <c:v>2558.9279999999999</c:v>
                </c:pt>
                <c:pt idx="118">
                  <c:v>697.08600000000001</c:v>
                </c:pt>
                <c:pt idx="119">
                  <c:v>763.37099999999998</c:v>
                </c:pt>
                <c:pt idx="120">
                  <c:v>35604.442999999999</c:v>
                </c:pt>
                <c:pt idx="121">
                  <c:v>24944.242999999999</c:v>
                </c:pt>
                <c:pt idx="122">
                  <c:v>36687.569000000003</c:v>
                </c:pt>
                <c:pt idx="123">
                  <c:v>512.68299999999999</c:v>
                </c:pt>
                <c:pt idx="124">
                  <c:v>28712.294000000002</c:v>
                </c:pt>
                <c:pt idx="125">
                  <c:v>543.42499999999995</c:v>
                </c:pt>
                <c:pt idx="126">
                  <c:v>44.732999999999997</c:v>
                </c:pt>
                <c:pt idx="127">
                  <c:v>362.47199999999998</c:v>
                </c:pt>
                <c:pt idx="128">
                  <c:v>5830.5630000000001</c:v>
                </c:pt>
                <c:pt idx="129">
                  <c:v>1305.425</c:v>
                </c:pt>
                <c:pt idx="130">
                  <c:v>407.57900000000001</c:v>
                </c:pt>
                <c:pt idx="131">
                  <c:v>134534.10699999999</c:v>
                </c:pt>
                <c:pt idx="132">
                  <c:v>122.70399999999999</c:v>
                </c:pt>
                <c:pt idx="133">
                  <c:v>3174.7269999999999</c:v>
                </c:pt>
                <c:pt idx="134">
                  <c:v>35.862000000000002</c:v>
                </c:pt>
                <c:pt idx="135">
                  <c:v>3736.3270000000002</c:v>
                </c:pt>
                <c:pt idx="136">
                  <c:v>621.69600000000003</c:v>
                </c:pt>
                <c:pt idx="137">
                  <c:v>4.3010000000000002</c:v>
                </c:pt>
                <c:pt idx="138">
                  <c:v>40226.394999999997</c:v>
                </c:pt>
                <c:pt idx="139">
                  <c:v>40920.707000000002</c:v>
                </c:pt>
                <c:pt idx="140">
                  <c:v>56987.625</c:v>
                </c:pt>
                <c:pt idx="141">
                  <c:v>2910.056</c:v>
                </c:pt>
                <c:pt idx="142">
                  <c:v>13.358000000000001</c:v>
                </c:pt>
                <c:pt idx="143">
                  <c:v>33133.394999999997</c:v>
                </c:pt>
                <c:pt idx="144">
                  <c:v>17943.803</c:v>
                </c:pt>
                <c:pt idx="145">
                  <c:v>312.529</c:v>
                </c:pt>
                <c:pt idx="146">
                  <c:v>5495.67</c:v>
                </c:pt>
                <c:pt idx="147">
                  <c:v>7688.6859999999997</c:v>
                </c:pt>
                <c:pt idx="148">
                  <c:v>35217.942000000003</c:v>
                </c:pt>
                <c:pt idx="149">
                  <c:v>262580.42599999998</c:v>
                </c:pt>
                <c:pt idx="150">
                  <c:v>1.948</c:v>
                </c:pt>
                <c:pt idx="151">
                  <c:v>26569.401000000002</c:v>
                </c:pt>
                <c:pt idx="152">
                  <c:v>2072.2559999999999</c:v>
                </c:pt>
                <c:pt idx="153">
                  <c:v>51.177999999999997</c:v>
                </c:pt>
                <c:pt idx="154">
                  <c:v>5748.3969999999999</c:v>
                </c:pt>
                <c:pt idx="155">
                  <c:v>5093.3760000000002</c:v>
                </c:pt>
                <c:pt idx="156">
                  <c:v>274029.83600000001</c:v>
                </c:pt>
                <c:pt idx="157">
                  <c:v>17.919</c:v>
                </c:pt>
                <c:pt idx="158">
                  <c:v>6256.9489999999996</c:v>
                </c:pt>
                <c:pt idx="159">
                  <c:v>4864.1260000000002</c:v>
                </c:pt>
                <c:pt idx="160">
                  <c:v>11615.322</c:v>
                </c:pt>
                <c:pt idx="161">
                  <c:v>7425.4480000000003</c:v>
                </c:pt>
                <c:pt idx="162">
                  <c:v>36702.392999999996</c:v>
                </c:pt>
                <c:pt idx="163">
                  <c:v>129453.321</c:v>
                </c:pt>
                <c:pt idx="164">
                  <c:v>38700.517999999996</c:v>
                </c:pt>
                <c:pt idx="165">
                  <c:v>10062.183000000001</c:v>
                </c:pt>
                <c:pt idx="166">
                  <c:v>3259.7220000000002</c:v>
                </c:pt>
                <c:pt idx="167">
                  <c:v>2855.2910000000002</c:v>
                </c:pt>
                <c:pt idx="168">
                  <c:v>7114.9870000000001</c:v>
                </c:pt>
                <c:pt idx="169">
                  <c:v>1031.8219999999999</c:v>
                </c:pt>
                <c:pt idx="170">
                  <c:v>19023.383000000002</c:v>
                </c:pt>
                <c:pt idx="171">
                  <c:v>141432.74100000001</c:v>
                </c:pt>
                <c:pt idx="172">
                  <c:v>16375.704</c:v>
                </c:pt>
                <c:pt idx="173">
                  <c:v>11.113</c:v>
                </c:pt>
                <c:pt idx="174">
                  <c:v>48.247</c:v>
                </c:pt>
                <c:pt idx="175">
                  <c:v>183.274</c:v>
                </c:pt>
                <c:pt idx="176">
                  <c:v>33.508000000000003</c:v>
                </c:pt>
                <c:pt idx="177">
                  <c:v>5.6509999999999998</c:v>
                </c:pt>
                <c:pt idx="178">
                  <c:v>104.322</c:v>
                </c:pt>
                <c:pt idx="179">
                  <c:v>248.62700000000001</c:v>
                </c:pt>
                <c:pt idx="180">
                  <c:v>33.457999999999998</c:v>
                </c:pt>
                <c:pt idx="181">
                  <c:v>265.036</c:v>
                </c:pt>
                <c:pt idx="182">
                  <c:v>40461.368000000002</c:v>
                </c:pt>
                <c:pt idx="183">
                  <c:v>21125.871999999999</c:v>
                </c:pt>
                <c:pt idx="184">
                  <c:v>6832.6040000000003</c:v>
                </c:pt>
                <c:pt idx="185">
                  <c:v>111.31699999999999</c:v>
                </c:pt>
                <c:pt idx="186">
                  <c:v>10105.188</c:v>
                </c:pt>
                <c:pt idx="187">
                  <c:v>6251.9880000000003</c:v>
                </c:pt>
                <c:pt idx="188">
                  <c:v>44.945999999999998</c:v>
                </c:pt>
                <c:pt idx="189">
                  <c:v>5555.1139999999996</c:v>
                </c:pt>
                <c:pt idx="190">
                  <c:v>2105.9450000000002</c:v>
                </c:pt>
                <c:pt idx="191">
                  <c:v>856.26400000000001</c:v>
                </c:pt>
                <c:pt idx="192">
                  <c:v>22316.857</c:v>
                </c:pt>
                <c:pt idx="193">
                  <c:v>64659.277999999998</c:v>
                </c:pt>
                <c:pt idx="194">
                  <c:v>51290.214</c:v>
                </c:pt>
                <c:pt idx="195">
                  <c:v>12570.402</c:v>
                </c:pt>
                <c:pt idx="196">
                  <c:v>47076.572999999997</c:v>
                </c:pt>
                <c:pt idx="197">
                  <c:v>22186.97</c:v>
                </c:pt>
                <c:pt idx="198">
                  <c:v>56997.099000000002</c:v>
                </c:pt>
                <c:pt idx="199">
                  <c:v>659.50800000000004</c:v>
                </c:pt>
                <c:pt idx="200">
                  <c:v>11007.227999999999</c:v>
                </c:pt>
                <c:pt idx="201">
                  <c:v>9143.6980000000003</c:v>
                </c:pt>
                <c:pt idx="202">
                  <c:v>29824.735000000001</c:v>
                </c:pt>
                <c:pt idx="203">
                  <c:v>24027.999</c:v>
                </c:pt>
                <c:pt idx="204">
                  <c:v>11421.43</c:v>
                </c:pt>
                <c:pt idx="205">
                  <c:v>81885.304000000004</c:v>
                </c:pt>
                <c:pt idx="206">
                  <c:v>72060.017999999996</c:v>
                </c:pt>
                <c:pt idx="207">
                  <c:v>1495.0809999999999</c:v>
                </c:pt>
                <c:pt idx="208">
                  <c:v>10558.178</c:v>
                </c:pt>
                <c:pt idx="209">
                  <c:v>2.0459999999999998</c:v>
                </c:pt>
                <c:pt idx="210">
                  <c:v>114.124</c:v>
                </c:pt>
                <c:pt idx="211">
                  <c:v>1547.69</c:v>
                </c:pt>
                <c:pt idx="212">
                  <c:v>13100.768</c:v>
                </c:pt>
                <c:pt idx="213">
                  <c:v>88879.698000000004</c:v>
                </c:pt>
                <c:pt idx="214">
                  <c:v>7034.7579999999998</c:v>
                </c:pt>
                <c:pt idx="215">
                  <c:v>48.537999999999997</c:v>
                </c:pt>
                <c:pt idx="216">
                  <c:v>11.917</c:v>
                </c:pt>
                <c:pt idx="217">
                  <c:v>58380.262000000002</c:v>
                </c:pt>
                <c:pt idx="218">
                  <c:v>38295.428999999996</c:v>
                </c:pt>
                <c:pt idx="219">
                  <c:v>10004.319</c:v>
                </c:pt>
                <c:pt idx="220">
                  <c:v>69175.77</c:v>
                </c:pt>
                <c:pt idx="221">
                  <c:v>352162.30099999998</c:v>
                </c:pt>
                <c:pt idx="222">
                  <c:v>93.418999999999997</c:v>
                </c:pt>
                <c:pt idx="223">
                  <c:v>3423.3719999999998</c:v>
                </c:pt>
                <c:pt idx="224">
                  <c:v>38313.228000000003</c:v>
                </c:pt>
                <c:pt idx="225">
                  <c:v>391.13499999999999</c:v>
                </c:pt>
                <c:pt idx="226">
                  <c:v>0.56100000000000005</c:v>
                </c:pt>
                <c:pt idx="227">
                  <c:v>32027.460999999999</c:v>
                </c:pt>
                <c:pt idx="228">
                  <c:v>102699.905</c:v>
                </c:pt>
                <c:pt idx="229">
                  <c:v>11.228999999999999</c:v>
                </c:pt>
                <c:pt idx="230">
                  <c:v>662.726</c:v>
                </c:pt>
                <c:pt idx="231">
                  <c:v>39923.245000000003</c:v>
                </c:pt>
                <c:pt idx="232">
                  <c:v>24676.417000000001</c:v>
                </c:pt>
                <c:pt idx="233">
                  <c:v>19179.393</c:v>
                </c:pt>
              </c:numCache>
            </c:numRef>
          </c:val>
        </c:ser>
        <c:ser>
          <c:idx val="2"/>
          <c:order val="2"/>
          <c:tx>
            <c:strRef>
              <c:f>population_data!$Z$18</c:f>
              <c:strCache>
                <c:ptCount val="1"/>
                <c:pt idx="0">
                  <c:v>Sum of pop2022</c:v>
                </c:pt>
              </c:strCache>
            </c:strRef>
          </c:tx>
          <c:invertIfNegative val="0"/>
          <c:cat>
            <c:strRef>
              <c:f>population_data!$W$19:$W$253</c:f>
              <c:strCache>
                <c:ptCount val="234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American Samoa</c:v>
                </c:pt>
                <c:pt idx="4">
                  <c:v>Andorra</c:v>
                </c:pt>
                <c:pt idx="5">
                  <c:v>Angola</c:v>
                </c:pt>
                <c:pt idx="6">
                  <c:v>Anguilla</c:v>
                </c:pt>
                <c:pt idx="7">
                  <c:v>Antigua and Barbuda</c:v>
                </c:pt>
                <c:pt idx="8">
                  <c:v>Argentina</c:v>
                </c:pt>
                <c:pt idx="9">
                  <c:v>Armenia</c:v>
                </c:pt>
                <c:pt idx="10">
                  <c:v>Aruba</c:v>
                </c:pt>
                <c:pt idx="11">
                  <c:v>Australia</c:v>
                </c:pt>
                <c:pt idx="12">
                  <c:v>Austria</c:v>
                </c:pt>
                <c:pt idx="13">
                  <c:v>Azerbaijan</c:v>
                </c:pt>
                <c:pt idx="14">
                  <c:v>Bahamas</c:v>
                </c:pt>
                <c:pt idx="15">
                  <c:v>Bahrain</c:v>
                </c:pt>
                <c:pt idx="16">
                  <c:v>Bangladesh</c:v>
                </c:pt>
                <c:pt idx="17">
                  <c:v>Barbados</c:v>
                </c:pt>
                <c:pt idx="18">
                  <c:v>Belarus</c:v>
                </c:pt>
                <c:pt idx="19">
                  <c:v>Belgium</c:v>
                </c:pt>
                <c:pt idx="20">
                  <c:v>Belize</c:v>
                </c:pt>
                <c:pt idx="21">
                  <c:v>Benin</c:v>
                </c:pt>
                <c:pt idx="22">
                  <c:v>Bermuda</c:v>
                </c:pt>
                <c:pt idx="23">
                  <c:v>Bhutan</c:v>
                </c:pt>
                <c:pt idx="24">
                  <c:v>Bolivia</c:v>
                </c:pt>
                <c:pt idx="25">
                  <c:v>Bosnia and Herzegovina</c:v>
                </c:pt>
                <c:pt idx="26">
                  <c:v>Botswana</c:v>
                </c:pt>
                <c:pt idx="27">
                  <c:v>Brazil</c:v>
                </c:pt>
                <c:pt idx="28">
                  <c:v>British Virgin Islands</c:v>
                </c:pt>
                <c:pt idx="29">
                  <c:v>Brunei</c:v>
                </c:pt>
                <c:pt idx="30">
                  <c:v>Bulgaria</c:v>
                </c:pt>
                <c:pt idx="31">
                  <c:v>Burkina Faso</c:v>
                </c:pt>
                <c:pt idx="32">
                  <c:v>Burundi</c:v>
                </c:pt>
                <c:pt idx="33">
                  <c:v>Cambodia</c:v>
                </c:pt>
                <c:pt idx="34">
                  <c:v>Cameroon</c:v>
                </c:pt>
                <c:pt idx="35">
                  <c:v>Canada</c:v>
                </c:pt>
                <c:pt idx="36">
                  <c:v>Cape Verde</c:v>
                </c:pt>
                <c:pt idx="37">
                  <c:v>Cayman Islands</c:v>
                </c:pt>
                <c:pt idx="38">
                  <c:v>Central African Republic</c:v>
                </c:pt>
                <c:pt idx="39">
                  <c:v>Chad</c:v>
                </c:pt>
                <c:pt idx="40">
                  <c:v>Chile</c:v>
                </c:pt>
                <c:pt idx="41">
                  <c:v>China</c:v>
                </c:pt>
                <c:pt idx="42">
                  <c:v>Colombia</c:v>
                </c:pt>
                <c:pt idx="43">
                  <c:v>Comoros</c:v>
                </c:pt>
                <c:pt idx="44">
                  <c:v>Cook Islands</c:v>
                </c:pt>
                <c:pt idx="45">
                  <c:v>Costa Rica</c:v>
                </c:pt>
                <c:pt idx="46">
                  <c:v>Croatia</c:v>
                </c:pt>
                <c:pt idx="47">
                  <c:v>Cuba</c:v>
                </c:pt>
                <c:pt idx="48">
                  <c:v>Curacao</c:v>
                </c:pt>
                <c:pt idx="49">
                  <c:v>Cyprus</c:v>
                </c:pt>
                <c:pt idx="50">
                  <c:v>Czech Republic</c:v>
                </c:pt>
                <c:pt idx="51">
                  <c:v>Denmark</c:v>
                </c:pt>
                <c:pt idx="52">
                  <c:v>Djibouti</c:v>
                </c:pt>
                <c:pt idx="53">
                  <c:v>Dominica</c:v>
                </c:pt>
                <c:pt idx="54">
                  <c:v>Dominican Republic</c:v>
                </c:pt>
                <c:pt idx="55">
                  <c:v>DR Congo</c:v>
                </c:pt>
                <c:pt idx="56">
                  <c:v>Ecuador</c:v>
                </c:pt>
                <c:pt idx="57">
                  <c:v>Egypt</c:v>
                </c:pt>
                <c:pt idx="58">
                  <c:v>El Salvador</c:v>
                </c:pt>
                <c:pt idx="59">
                  <c:v>Equatorial Guinea</c:v>
                </c:pt>
                <c:pt idx="60">
                  <c:v>Eritrea</c:v>
                </c:pt>
                <c:pt idx="61">
                  <c:v>Estonia</c:v>
                </c:pt>
                <c:pt idx="62">
                  <c:v>Eswatini</c:v>
                </c:pt>
                <c:pt idx="63">
                  <c:v>Ethiopia</c:v>
                </c:pt>
                <c:pt idx="64">
                  <c:v>Falkland Islands</c:v>
                </c:pt>
                <c:pt idx="65">
                  <c:v>Faroe Islands</c:v>
                </c:pt>
                <c:pt idx="66">
                  <c:v>Fiji</c:v>
                </c:pt>
                <c:pt idx="67">
                  <c:v>Finland</c:v>
                </c:pt>
                <c:pt idx="68">
                  <c:v>France</c:v>
                </c:pt>
                <c:pt idx="69">
                  <c:v>French Guiana</c:v>
                </c:pt>
                <c:pt idx="70">
                  <c:v>French Polynesia</c:v>
                </c:pt>
                <c:pt idx="71">
                  <c:v>Gabon</c:v>
                </c:pt>
                <c:pt idx="72">
                  <c:v>Gambia</c:v>
                </c:pt>
                <c:pt idx="73">
                  <c:v>Georgia</c:v>
                </c:pt>
                <c:pt idx="74">
                  <c:v>Germany</c:v>
                </c:pt>
                <c:pt idx="75">
                  <c:v>Ghana</c:v>
                </c:pt>
                <c:pt idx="76">
                  <c:v>Gibraltar</c:v>
                </c:pt>
                <c:pt idx="77">
                  <c:v>Greece</c:v>
                </c:pt>
                <c:pt idx="78">
                  <c:v>Greenland</c:v>
                </c:pt>
                <c:pt idx="79">
                  <c:v>Grenada</c:v>
                </c:pt>
                <c:pt idx="80">
                  <c:v>Guadeloupe</c:v>
                </c:pt>
                <c:pt idx="81">
                  <c:v>Guam</c:v>
                </c:pt>
                <c:pt idx="82">
                  <c:v>Guatemala</c:v>
                </c:pt>
                <c:pt idx="83">
                  <c:v>Guernsey</c:v>
                </c:pt>
                <c:pt idx="84">
                  <c:v>Guinea</c:v>
                </c:pt>
                <c:pt idx="85">
                  <c:v>Guinea-Bissau</c:v>
                </c:pt>
                <c:pt idx="86">
                  <c:v>Guyana</c:v>
                </c:pt>
                <c:pt idx="87">
                  <c:v>Haiti</c:v>
                </c:pt>
                <c:pt idx="88">
                  <c:v>Honduras</c:v>
                </c:pt>
                <c:pt idx="89">
                  <c:v>Hong Kong</c:v>
                </c:pt>
                <c:pt idx="90">
                  <c:v>Hungary</c:v>
                </c:pt>
                <c:pt idx="91">
                  <c:v>Iceland</c:v>
                </c:pt>
                <c:pt idx="92">
                  <c:v>India</c:v>
                </c:pt>
                <c:pt idx="93">
                  <c:v>Indonesia</c:v>
                </c:pt>
                <c:pt idx="94">
                  <c:v>Iran</c:v>
                </c:pt>
                <c:pt idx="95">
                  <c:v>Iraq</c:v>
                </c:pt>
                <c:pt idx="96">
                  <c:v>Ireland</c:v>
                </c:pt>
                <c:pt idx="97">
                  <c:v>Isle of Man</c:v>
                </c:pt>
                <c:pt idx="98">
                  <c:v>Israel</c:v>
                </c:pt>
                <c:pt idx="99">
                  <c:v>Italy</c:v>
                </c:pt>
                <c:pt idx="100">
                  <c:v>Ivory Coast</c:v>
                </c:pt>
                <c:pt idx="101">
                  <c:v>Jamaica</c:v>
                </c:pt>
                <c:pt idx="102">
                  <c:v>Japan</c:v>
                </c:pt>
                <c:pt idx="103">
                  <c:v>Jersey</c:v>
                </c:pt>
                <c:pt idx="104">
                  <c:v>Jordan</c:v>
                </c:pt>
                <c:pt idx="105">
                  <c:v>Kazakhstan</c:v>
                </c:pt>
                <c:pt idx="106">
                  <c:v>Kenya</c:v>
                </c:pt>
                <c:pt idx="107">
                  <c:v>Kiribati</c:v>
                </c:pt>
                <c:pt idx="108">
                  <c:v>Kuwait</c:v>
                </c:pt>
                <c:pt idx="109">
                  <c:v>Kyrgyzstan</c:v>
                </c:pt>
                <c:pt idx="110">
                  <c:v>Laos</c:v>
                </c:pt>
                <c:pt idx="111">
                  <c:v>Latvia</c:v>
                </c:pt>
                <c:pt idx="112">
                  <c:v>Lebanon</c:v>
                </c:pt>
                <c:pt idx="113">
                  <c:v>Lesotho</c:v>
                </c:pt>
                <c:pt idx="114">
                  <c:v>Liberia</c:v>
                </c:pt>
                <c:pt idx="115">
                  <c:v>Libya</c:v>
                </c:pt>
                <c:pt idx="116">
                  <c:v>Liechtenstein</c:v>
                </c:pt>
                <c:pt idx="117">
                  <c:v>Lithuania</c:v>
                </c:pt>
                <c:pt idx="118">
                  <c:v>Luxembourg</c:v>
                </c:pt>
                <c:pt idx="119">
                  <c:v>Macau</c:v>
                </c:pt>
                <c:pt idx="120">
                  <c:v>Madagascar</c:v>
                </c:pt>
                <c:pt idx="121">
                  <c:v>Malawi</c:v>
                </c:pt>
                <c:pt idx="122">
                  <c:v>Malaysia</c:v>
                </c:pt>
                <c:pt idx="123">
                  <c:v>Maldives</c:v>
                </c:pt>
                <c:pt idx="124">
                  <c:v>Mali</c:v>
                </c:pt>
                <c:pt idx="125">
                  <c:v>Malta</c:v>
                </c:pt>
                <c:pt idx="126">
                  <c:v>Marshall Islands</c:v>
                </c:pt>
                <c:pt idx="127">
                  <c:v>Martinique</c:v>
                </c:pt>
                <c:pt idx="128">
                  <c:v>Mauritania</c:v>
                </c:pt>
                <c:pt idx="129">
                  <c:v>Mauritius</c:v>
                </c:pt>
                <c:pt idx="130">
                  <c:v>Mayotte</c:v>
                </c:pt>
                <c:pt idx="131">
                  <c:v>Mexico</c:v>
                </c:pt>
                <c:pt idx="132">
                  <c:v>Micronesia</c:v>
                </c:pt>
                <c:pt idx="133">
                  <c:v>Moldova</c:v>
                </c:pt>
                <c:pt idx="134">
                  <c:v>Monaco</c:v>
                </c:pt>
                <c:pt idx="135">
                  <c:v>Mongolia</c:v>
                </c:pt>
                <c:pt idx="136">
                  <c:v>Montenegro</c:v>
                </c:pt>
                <c:pt idx="137">
                  <c:v>Montserrat</c:v>
                </c:pt>
                <c:pt idx="138">
                  <c:v>Morocco</c:v>
                </c:pt>
                <c:pt idx="139">
                  <c:v>Mozambique</c:v>
                </c:pt>
                <c:pt idx="140">
                  <c:v>Myanmar</c:v>
                </c:pt>
                <c:pt idx="141">
                  <c:v>Namibia</c:v>
                </c:pt>
                <c:pt idx="142">
                  <c:v>Nauru</c:v>
                </c:pt>
                <c:pt idx="143">
                  <c:v>Nepal</c:v>
                </c:pt>
                <c:pt idx="144">
                  <c:v>Netherlands</c:v>
                </c:pt>
                <c:pt idx="145">
                  <c:v>New Caledonia</c:v>
                </c:pt>
                <c:pt idx="146">
                  <c:v>New Zealand</c:v>
                </c:pt>
                <c:pt idx="147">
                  <c:v>Nicaragua</c:v>
                </c:pt>
                <c:pt idx="148">
                  <c:v>Niger</c:v>
                </c:pt>
                <c:pt idx="149">
                  <c:v>Nigeria</c:v>
                </c:pt>
                <c:pt idx="150">
                  <c:v>Niue</c:v>
                </c:pt>
                <c:pt idx="151">
                  <c:v>North Korea</c:v>
                </c:pt>
                <c:pt idx="152">
                  <c:v>North Macedonia</c:v>
                </c:pt>
                <c:pt idx="153">
                  <c:v>Northern Mariana Islands</c:v>
                </c:pt>
                <c:pt idx="154">
                  <c:v>Norway</c:v>
                </c:pt>
                <c:pt idx="155">
                  <c:v>Oman</c:v>
                </c:pt>
                <c:pt idx="156">
                  <c:v>Pakistan</c:v>
                </c:pt>
                <c:pt idx="157">
                  <c:v>Palau</c:v>
                </c:pt>
                <c:pt idx="158">
                  <c:v>Palestine</c:v>
                </c:pt>
                <c:pt idx="159">
                  <c:v>Panama</c:v>
                </c:pt>
                <c:pt idx="160">
                  <c:v>Papua New Guinea</c:v>
                </c:pt>
                <c:pt idx="161">
                  <c:v>Paraguay</c:v>
                </c:pt>
                <c:pt idx="162">
                  <c:v>Peru</c:v>
                </c:pt>
                <c:pt idx="163">
                  <c:v>Philippines</c:v>
                </c:pt>
                <c:pt idx="164">
                  <c:v>Poland</c:v>
                </c:pt>
                <c:pt idx="165">
                  <c:v>Portugal</c:v>
                </c:pt>
                <c:pt idx="166">
                  <c:v>Puerto Rico</c:v>
                </c:pt>
                <c:pt idx="167">
                  <c:v>Qatar</c:v>
                </c:pt>
                <c:pt idx="168">
                  <c:v>Republic of the Congo</c:v>
                </c:pt>
                <c:pt idx="169">
                  <c:v>Reunion</c:v>
                </c:pt>
                <c:pt idx="170">
                  <c:v>Romania</c:v>
                </c:pt>
                <c:pt idx="171">
                  <c:v>Russia</c:v>
                </c:pt>
                <c:pt idx="172">
                  <c:v>Rwanda</c:v>
                </c:pt>
                <c:pt idx="173">
                  <c:v>Saint Barthelemy</c:v>
                </c:pt>
                <c:pt idx="174">
                  <c:v>Saint Kitts and Nevis</c:v>
                </c:pt>
                <c:pt idx="175">
                  <c:v>Saint Lucia</c:v>
                </c:pt>
                <c:pt idx="176">
                  <c:v>Saint Martin</c:v>
                </c:pt>
                <c:pt idx="177">
                  <c:v>Saint Pierre and Miquelon</c:v>
                </c:pt>
                <c:pt idx="178">
                  <c:v>Saint Vincent and the Grenadines</c:v>
                </c:pt>
                <c:pt idx="179">
                  <c:v>Samoa</c:v>
                </c:pt>
                <c:pt idx="180">
                  <c:v>San Marino</c:v>
                </c:pt>
                <c:pt idx="181">
                  <c:v>Sao Tome and Principe</c:v>
                </c:pt>
                <c:pt idx="182">
                  <c:v>Saudi Arabia</c:v>
                </c:pt>
                <c:pt idx="183">
                  <c:v>Senegal</c:v>
                </c:pt>
                <c:pt idx="184">
                  <c:v>Serbia</c:v>
                </c:pt>
                <c:pt idx="185">
                  <c:v>Seychelles</c:v>
                </c:pt>
                <c:pt idx="186">
                  <c:v>Sierra Leone</c:v>
                </c:pt>
                <c:pt idx="187">
                  <c:v>Singapore</c:v>
                </c:pt>
                <c:pt idx="188">
                  <c:v>Sint Maarten</c:v>
                </c:pt>
                <c:pt idx="189">
                  <c:v>Slovakia</c:v>
                </c:pt>
                <c:pt idx="190">
                  <c:v>Slovenia</c:v>
                </c:pt>
                <c:pt idx="191">
                  <c:v>Solomon Islands</c:v>
                </c:pt>
                <c:pt idx="192">
                  <c:v>Somalia</c:v>
                </c:pt>
                <c:pt idx="193">
                  <c:v>South Africa</c:v>
                </c:pt>
                <c:pt idx="194">
                  <c:v>South Korea</c:v>
                </c:pt>
                <c:pt idx="195">
                  <c:v>South Sudan</c:v>
                </c:pt>
                <c:pt idx="196">
                  <c:v>Spain</c:v>
                </c:pt>
                <c:pt idx="197">
                  <c:v>Sri Lanka</c:v>
                </c:pt>
                <c:pt idx="198">
                  <c:v>Sudan</c:v>
                </c:pt>
                <c:pt idx="199">
                  <c:v>Suriname</c:v>
                </c:pt>
                <c:pt idx="200">
                  <c:v>Sweden</c:v>
                </c:pt>
                <c:pt idx="201">
                  <c:v>Switzerland</c:v>
                </c:pt>
                <c:pt idx="202">
                  <c:v>Syria</c:v>
                </c:pt>
                <c:pt idx="203">
                  <c:v>Taiwan</c:v>
                </c:pt>
                <c:pt idx="204">
                  <c:v>Tajikistan</c:v>
                </c:pt>
                <c:pt idx="205">
                  <c:v>Tanzania</c:v>
                </c:pt>
                <c:pt idx="206">
                  <c:v>Thailand</c:v>
                </c:pt>
                <c:pt idx="207">
                  <c:v>Timor-Leste</c:v>
                </c:pt>
                <c:pt idx="208">
                  <c:v>Togo</c:v>
                </c:pt>
                <c:pt idx="209">
                  <c:v>Tokelau</c:v>
                </c:pt>
                <c:pt idx="210">
                  <c:v>Tonga</c:v>
                </c:pt>
                <c:pt idx="211">
                  <c:v>Trinidad and Tobago</c:v>
                </c:pt>
                <c:pt idx="212">
                  <c:v>Tunisia</c:v>
                </c:pt>
                <c:pt idx="213">
                  <c:v>Turkey</c:v>
                </c:pt>
                <c:pt idx="214">
                  <c:v>Turkmenistan</c:v>
                </c:pt>
                <c:pt idx="215">
                  <c:v>Turks and Caicos Islands</c:v>
                </c:pt>
                <c:pt idx="216">
                  <c:v>Tuvalu</c:v>
                </c:pt>
                <c:pt idx="217">
                  <c:v>Uganda</c:v>
                </c:pt>
                <c:pt idx="218">
                  <c:v>Ukraine</c:v>
                </c:pt>
                <c:pt idx="219">
                  <c:v>United Arab Emirates</c:v>
                </c:pt>
                <c:pt idx="220">
                  <c:v>United Kingdom</c:v>
                </c:pt>
                <c:pt idx="221">
                  <c:v>United States</c:v>
                </c:pt>
                <c:pt idx="222">
                  <c:v>United States Virgin Islands</c:v>
                </c:pt>
                <c:pt idx="223">
                  <c:v>Uruguay</c:v>
                </c:pt>
                <c:pt idx="224">
                  <c:v>Uzbekistan</c:v>
                </c:pt>
                <c:pt idx="225">
                  <c:v>Vanuatu</c:v>
                </c:pt>
                <c:pt idx="226">
                  <c:v>Vatican City</c:v>
                </c:pt>
                <c:pt idx="227">
                  <c:v>Venezuela</c:v>
                </c:pt>
                <c:pt idx="228">
                  <c:v>Vietnam</c:v>
                </c:pt>
                <c:pt idx="229">
                  <c:v>Wallis and Futuna</c:v>
                </c:pt>
                <c:pt idx="230">
                  <c:v>Western Sahara</c:v>
                </c:pt>
                <c:pt idx="231">
                  <c:v>Yemen</c:v>
                </c:pt>
                <c:pt idx="232">
                  <c:v>Zambia</c:v>
                </c:pt>
                <c:pt idx="233">
                  <c:v>Zimbabwe</c:v>
                </c:pt>
              </c:strCache>
            </c:strRef>
          </c:cat>
          <c:val>
            <c:numRef>
              <c:f>population_data!$Z$19:$Z$253</c:f>
              <c:numCache>
                <c:formatCode>General</c:formatCode>
                <c:ptCount val="234"/>
                <c:pt idx="0">
                  <c:v>41128.771000000001</c:v>
                </c:pt>
                <c:pt idx="1">
                  <c:v>2842.3209999999999</c:v>
                </c:pt>
                <c:pt idx="2">
                  <c:v>44903.224999999999</c:v>
                </c:pt>
                <c:pt idx="3">
                  <c:v>44.273000000000003</c:v>
                </c:pt>
                <c:pt idx="4">
                  <c:v>79.823999999999998</c:v>
                </c:pt>
                <c:pt idx="5">
                  <c:v>35588.987000000001</c:v>
                </c:pt>
                <c:pt idx="6">
                  <c:v>15.856999999999999</c:v>
                </c:pt>
                <c:pt idx="7">
                  <c:v>93.763000000000005</c:v>
                </c:pt>
                <c:pt idx="8">
                  <c:v>45510.317999999999</c:v>
                </c:pt>
                <c:pt idx="9">
                  <c:v>2780.4690000000001</c:v>
                </c:pt>
                <c:pt idx="10">
                  <c:v>106.44499999999999</c:v>
                </c:pt>
                <c:pt idx="11">
                  <c:v>26177.413</c:v>
                </c:pt>
                <c:pt idx="12">
                  <c:v>8939.6170000000002</c:v>
                </c:pt>
                <c:pt idx="13">
                  <c:v>10358.074000000001</c:v>
                </c:pt>
                <c:pt idx="14">
                  <c:v>409.98399999999998</c:v>
                </c:pt>
                <c:pt idx="15">
                  <c:v>1472.2329999999999</c:v>
                </c:pt>
                <c:pt idx="16">
                  <c:v>171186.372</c:v>
                </c:pt>
                <c:pt idx="17">
                  <c:v>281.63499999999999</c:v>
                </c:pt>
                <c:pt idx="18">
                  <c:v>9534.9539999999997</c:v>
                </c:pt>
                <c:pt idx="19">
                  <c:v>11655.93</c:v>
                </c:pt>
                <c:pt idx="20">
                  <c:v>405.27199999999999</c:v>
                </c:pt>
                <c:pt idx="21">
                  <c:v>13352.864</c:v>
                </c:pt>
                <c:pt idx="22">
                  <c:v>64.183999999999997</c:v>
                </c:pt>
                <c:pt idx="23">
                  <c:v>782.45500000000004</c:v>
                </c:pt>
                <c:pt idx="24">
                  <c:v>12224.11</c:v>
                </c:pt>
                <c:pt idx="25">
                  <c:v>3233.5259999999998</c:v>
                </c:pt>
                <c:pt idx="26">
                  <c:v>2630.2959999999998</c:v>
                </c:pt>
                <c:pt idx="27">
                  <c:v>215313.49799999999</c:v>
                </c:pt>
                <c:pt idx="28">
                  <c:v>31.305</c:v>
                </c:pt>
                <c:pt idx="29">
                  <c:v>449.00200000000001</c:v>
                </c:pt>
                <c:pt idx="30">
                  <c:v>6781.9530000000004</c:v>
                </c:pt>
                <c:pt idx="31">
                  <c:v>22673.761999999999</c:v>
                </c:pt>
                <c:pt idx="32">
                  <c:v>12889.575999999999</c:v>
                </c:pt>
                <c:pt idx="33">
                  <c:v>16767.842000000001</c:v>
                </c:pt>
                <c:pt idx="34">
                  <c:v>27914.536</c:v>
                </c:pt>
                <c:pt idx="35">
                  <c:v>38454.326999999997</c:v>
                </c:pt>
                <c:pt idx="36">
                  <c:v>593.149</c:v>
                </c:pt>
                <c:pt idx="37">
                  <c:v>68.706000000000003</c:v>
                </c:pt>
                <c:pt idx="38">
                  <c:v>5579.1440000000002</c:v>
                </c:pt>
                <c:pt idx="39">
                  <c:v>17723.314999999999</c:v>
                </c:pt>
                <c:pt idx="40">
                  <c:v>19603.733</c:v>
                </c:pt>
                <c:pt idx="41">
                  <c:v>1425887.3370000001</c:v>
                </c:pt>
                <c:pt idx="42">
                  <c:v>51874.023999999998</c:v>
                </c:pt>
                <c:pt idx="43">
                  <c:v>836.774</c:v>
                </c:pt>
                <c:pt idx="44">
                  <c:v>17.010999999999999</c:v>
                </c:pt>
                <c:pt idx="45">
                  <c:v>5180.8289999999997</c:v>
                </c:pt>
                <c:pt idx="46">
                  <c:v>4030.3580000000002</c:v>
                </c:pt>
                <c:pt idx="47">
                  <c:v>11212.191000000001</c:v>
                </c:pt>
                <c:pt idx="48">
                  <c:v>191.16300000000001</c:v>
                </c:pt>
                <c:pt idx="49">
                  <c:v>1251.4880000000001</c:v>
                </c:pt>
                <c:pt idx="50">
                  <c:v>10493.986000000001</c:v>
                </c:pt>
                <c:pt idx="51">
                  <c:v>5882.2610000000004</c:v>
                </c:pt>
                <c:pt idx="52">
                  <c:v>1120.8489999999999</c:v>
                </c:pt>
                <c:pt idx="53">
                  <c:v>72.736999999999995</c:v>
                </c:pt>
                <c:pt idx="54">
                  <c:v>11228.821</c:v>
                </c:pt>
                <c:pt idx="55">
                  <c:v>99010.212</c:v>
                </c:pt>
                <c:pt idx="56">
                  <c:v>18001</c:v>
                </c:pt>
                <c:pt idx="57">
                  <c:v>110990.103</c:v>
                </c:pt>
                <c:pt idx="58">
                  <c:v>6336.3919999999998</c:v>
                </c:pt>
                <c:pt idx="59">
                  <c:v>1674.9079999999999</c:v>
                </c:pt>
                <c:pt idx="60">
                  <c:v>3684.0320000000002</c:v>
                </c:pt>
                <c:pt idx="61">
                  <c:v>1326.0619999999999</c:v>
                </c:pt>
                <c:pt idx="62">
                  <c:v>1201.67</c:v>
                </c:pt>
                <c:pt idx="63">
                  <c:v>123379.924</c:v>
                </c:pt>
                <c:pt idx="64">
                  <c:v>3.78</c:v>
                </c:pt>
                <c:pt idx="65">
                  <c:v>53.09</c:v>
                </c:pt>
                <c:pt idx="66">
                  <c:v>929.76599999999996</c:v>
                </c:pt>
                <c:pt idx="67">
                  <c:v>5540.7449999999999</c:v>
                </c:pt>
                <c:pt idx="68">
                  <c:v>64626.627999999997</c:v>
                </c:pt>
                <c:pt idx="69">
                  <c:v>304.55700000000002</c:v>
                </c:pt>
                <c:pt idx="70">
                  <c:v>306.279</c:v>
                </c:pt>
                <c:pt idx="71">
                  <c:v>2388.9920000000002</c:v>
                </c:pt>
                <c:pt idx="72">
                  <c:v>2705.9920000000002</c:v>
                </c:pt>
                <c:pt idx="73">
                  <c:v>3744.3850000000002</c:v>
                </c:pt>
                <c:pt idx="74">
                  <c:v>83369.842999999993</c:v>
                </c:pt>
                <c:pt idx="75">
                  <c:v>33475.870000000003</c:v>
                </c:pt>
                <c:pt idx="76">
                  <c:v>32.649000000000001</c:v>
                </c:pt>
                <c:pt idx="77">
                  <c:v>10384.971</c:v>
                </c:pt>
                <c:pt idx="78">
                  <c:v>56.466000000000001</c:v>
                </c:pt>
                <c:pt idx="79">
                  <c:v>125.438</c:v>
                </c:pt>
                <c:pt idx="80">
                  <c:v>395.75200000000001</c:v>
                </c:pt>
                <c:pt idx="81">
                  <c:v>171.774</c:v>
                </c:pt>
                <c:pt idx="82">
                  <c:v>17843.907999999999</c:v>
                </c:pt>
                <c:pt idx="83">
                  <c:v>63.301000000000002</c:v>
                </c:pt>
                <c:pt idx="84">
                  <c:v>13859.341</c:v>
                </c:pt>
                <c:pt idx="85">
                  <c:v>2105.5659999999998</c:v>
                </c:pt>
                <c:pt idx="86">
                  <c:v>808.726</c:v>
                </c:pt>
                <c:pt idx="87">
                  <c:v>11584.995999999999</c:v>
                </c:pt>
                <c:pt idx="88">
                  <c:v>10432.86</c:v>
                </c:pt>
                <c:pt idx="89">
                  <c:v>7488.8649999999998</c:v>
                </c:pt>
                <c:pt idx="90">
                  <c:v>9967.3080000000009</c:v>
                </c:pt>
                <c:pt idx="91">
                  <c:v>372.899</c:v>
                </c:pt>
                <c:pt idx="92">
                  <c:v>1417173.173</c:v>
                </c:pt>
                <c:pt idx="93">
                  <c:v>275501.33899999998</c:v>
                </c:pt>
                <c:pt idx="94">
                  <c:v>88550.57</c:v>
                </c:pt>
                <c:pt idx="95">
                  <c:v>44496.122000000003</c:v>
                </c:pt>
                <c:pt idx="96">
                  <c:v>5023.1090000000004</c:v>
                </c:pt>
                <c:pt idx="97">
                  <c:v>84.519000000000005</c:v>
                </c:pt>
                <c:pt idx="98">
                  <c:v>9038.3089999999993</c:v>
                </c:pt>
                <c:pt idx="99">
                  <c:v>59037.474000000002</c:v>
                </c:pt>
                <c:pt idx="100">
                  <c:v>28160.542000000001</c:v>
                </c:pt>
                <c:pt idx="101">
                  <c:v>2827.377</c:v>
                </c:pt>
                <c:pt idx="102">
                  <c:v>123951.692</c:v>
                </c:pt>
                <c:pt idx="103">
                  <c:v>110.77800000000001</c:v>
                </c:pt>
                <c:pt idx="104">
                  <c:v>11285.869000000001</c:v>
                </c:pt>
                <c:pt idx="105">
                  <c:v>19397.998</c:v>
                </c:pt>
                <c:pt idx="106">
                  <c:v>54027.487000000001</c:v>
                </c:pt>
                <c:pt idx="107">
                  <c:v>131.232</c:v>
                </c:pt>
                <c:pt idx="108">
                  <c:v>4268.8729999999996</c:v>
                </c:pt>
                <c:pt idx="109">
                  <c:v>6630.6229999999996</c:v>
                </c:pt>
                <c:pt idx="110">
                  <c:v>7529.4750000000004</c:v>
                </c:pt>
                <c:pt idx="111">
                  <c:v>1850.6510000000001</c:v>
                </c:pt>
                <c:pt idx="112">
                  <c:v>5489.7389999999996</c:v>
                </c:pt>
                <c:pt idx="113">
                  <c:v>2305.8249999999998</c:v>
                </c:pt>
                <c:pt idx="114">
                  <c:v>5302.6809999999996</c:v>
                </c:pt>
                <c:pt idx="115">
                  <c:v>6812.3410000000003</c:v>
                </c:pt>
                <c:pt idx="116">
                  <c:v>39.326999999999998</c:v>
                </c:pt>
                <c:pt idx="117">
                  <c:v>2750.0549999999998</c:v>
                </c:pt>
                <c:pt idx="118">
                  <c:v>647.59900000000005</c:v>
                </c:pt>
                <c:pt idx="119">
                  <c:v>695.16800000000001</c:v>
                </c:pt>
                <c:pt idx="120">
                  <c:v>29611.714</c:v>
                </c:pt>
                <c:pt idx="121">
                  <c:v>20405.316999999999</c:v>
                </c:pt>
                <c:pt idx="122">
                  <c:v>33938.220999999998</c:v>
                </c:pt>
                <c:pt idx="123">
                  <c:v>523.78700000000003</c:v>
                </c:pt>
                <c:pt idx="124">
                  <c:v>22593.59</c:v>
                </c:pt>
                <c:pt idx="125">
                  <c:v>533.28599999999994</c:v>
                </c:pt>
                <c:pt idx="126">
                  <c:v>41.569000000000003</c:v>
                </c:pt>
                <c:pt idx="127">
                  <c:v>367.50700000000001</c:v>
                </c:pt>
                <c:pt idx="128">
                  <c:v>4736.1390000000001</c:v>
                </c:pt>
                <c:pt idx="129">
                  <c:v>1299.4690000000001</c:v>
                </c:pt>
                <c:pt idx="130">
                  <c:v>326.101</c:v>
                </c:pt>
                <c:pt idx="131">
                  <c:v>127504.125</c:v>
                </c:pt>
                <c:pt idx="132">
                  <c:v>114.164</c:v>
                </c:pt>
                <c:pt idx="133">
                  <c:v>3272.9960000000001</c:v>
                </c:pt>
                <c:pt idx="134">
                  <c:v>36.469000000000001</c:v>
                </c:pt>
                <c:pt idx="135">
                  <c:v>3398.366</c:v>
                </c:pt>
                <c:pt idx="136">
                  <c:v>627.08199999999999</c:v>
                </c:pt>
                <c:pt idx="137">
                  <c:v>4.3899999999999997</c:v>
                </c:pt>
                <c:pt idx="138">
                  <c:v>37457.970999999998</c:v>
                </c:pt>
                <c:pt idx="139">
                  <c:v>32969.517999999996</c:v>
                </c:pt>
                <c:pt idx="140">
                  <c:v>54179.305999999997</c:v>
                </c:pt>
                <c:pt idx="141">
                  <c:v>2567.0120000000002</c:v>
                </c:pt>
                <c:pt idx="142">
                  <c:v>12.667999999999999</c:v>
                </c:pt>
                <c:pt idx="143">
                  <c:v>30547.58</c:v>
                </c:pt>
                <c:pt idx="144">
                  <c:v>17564.013999999999</c:v>
                </c:pt>
                <c:pt idx="145">
                  <c:v>289.95</c:v>
                </c:pt>
                <c:pt idx="146">
                  <c:v>5185.2879999999996</c:v>
                </c:pt>
                <c:pt idx="147">
                  <c:v>6948.3919999999998</c:v>
                </c:pt>
                <c:pt idx="148">
                  <c:v>26207.976999999999</c:v>
                </c:pt>
                <c:pt idx="149">
                  <c:v>218541.212</c:v>
                </c:pt>
                <c:pt idx="150">
                  <c:v>1.9339999999999999</c:v>
                </c:pt>
                <c:pt idx="151">
                  <c:v>26069.416000000001</c:v>
                </c:pt>
                <c:pt idx="152">
                  <c:v>2093.5990000000002</c:v>
                </c:pt>
                <c:pt idx="153">
                  <c:v>49.551000000000002</c:v>
                </c:pt>
                <c:pt idx="154">
                  <c:v>5434.3190000000004</c:v>
                </c:pt>
                <c:pt idx="155">
                  <c:v>4576.2979999999998</c:v>
                </c:pt>
                <c:pt idx="156">
                  <c:v>235824.86199999999</c:v>
                </c:pt>
                <c:pt idx="157">
                  <c:v>18.055</c:v>
                </c:pt>
                <c:pt idx="158">
                  <c:v>5250.0720000000001</c:v>
                </c:pt>
                <c:pt idx="159">
                  <c:v>4408.5810000000001</c:v>
                </c:pt>
                <c:pt idx="160">
                  <c:v>10142.619000000001</c:v>
                </c:pt>
                <c:pt idx="161">
                  <c:v>6780.7439999999997</c:v>
                </c:pt>
                <c:pt idx="162">
                  <c:v>34049.588000000003</c:v>
                </c:pt>
                <c:pt idx="163">
                  <c:v>115559.00900000001</c:v>
                </c:pt>
                <c:pt idx="164">
                  <c:v>39857.144999999997</c:v>
                </c:pt>
                <c:pt idx="165">
                  <c:v>10270.865</c:v>
                </c:pt>
                <c:pt idx="166">
                  <c:v>3252.4070000000002</c:v>
                </c:pt>
                <c:pt idx="167">
                  <c:v>2695.1219999999998</c:v>
                </c:pt>
                <c:pt idx="168">
                  <c:v>5970.424</c:v>
                </c:pt>
                <c:pt idx="169">
                  <c:v>974.05200000000002</c:v>
                </c:pt>
                <c:pt idx="170">
                  <c:v>19659.267</c:v>
                </c:pt>
                <c:pt idx="171">
                  <c:v>144713.31400000001</c:v>
                </c:pt>
                <c:pt idx="172">
                  <c:v>13776.698</c:v>
                </c:pt>
                <c:pt idx="173">
                  <c:v>10.967000000000001</c:v>
                </c:pt>
                <c:pt idx="174">
                  <c:v>47.656999999999996</c:v>
                </c:pt>
                <c:pt idx="175">
                  <c:v>179.857</c:v>
                </c:pt>
                <c:pt idx="176">
                  <c:v>31.791</c:v>
                </c:pt>
                <c:pt idx="177">
                  <c:v>5.8620000000000001</c:v>
                </c:pt>
                <c:pt idx="178">
                  <c:v>103.94799999999999</c:v>
                </c:pt>
                <c:pt idx="179">
                  <c:v>222.38200000000001</c:v>
                </c:pt>
                <c:pt idx="180">
                  <c:v>33.659999999999997</c:v>
                </c:pt>
                <c:pt idx="181">
                  <c:v>227.38</c:v>
                </c:pt>
                <c:pt idx="182">
                  <c:v>36408.82</c:v>
                </c:pt>
                <c:pt idx="183">
                  <c:v>17316.449000000001</c:v>
                </c:pt>
                <c:pt idx="184">
                  <c:v>7221.3649999999998</c:v>
                </c:pt>
                <c:pt idx="185">
                  <c:v>107.11799999999999</c:v>
                </c:pt>
                <c:pt idx="186">
                  <c:v>8605.7180000000008</c:v>
                </c:pt>
                <c:pt idx="187">
                  <c:v>5975.6890000000003</c:v>
                </c:pt>
                <c:pt idx="188">
                  <c:v>44.174999999999997</c:v>
                </c:pt>
                <c:pt idx="189">
                  <c:v>5643.4530000000004</c:v>
                </c:pt>
                <c:pt idx="190">
                  <c:v>2119.8440000000001</c:v>
                </c:pt>
                <c:pt idx="191">
                  <c:v>724.27300000000002</c:v>
                </c:pt>
                <c:pt idx="192">
                  <c:v>17597.510999999999</c:v>
                </c:pt>
                <c:pt idx="193">
                  <c:v>59893.885000000002</c:v>
                </c:pt>
                <c:pt idx="194">
                  <c:v>51815.81</c:v>
                </c:pt>
                <c:pt idx="195">
                  <c:v>10913.164000000001</c:v>
                </c:pt>
                <c:pt idx="196">
                  <c:v>47558.63</c:v>
                </c:pt>
                <c:pt idx="197">
                  <c:v>21832.143</c:v>
                </c:pt>
                <c:pt idx="198">
                  <c:v>46874.203999999998</c:v>
                </c:pt>
                <c:pt idx="199">
                  <c:v>618.04</c:v>
                </c:pt>
                <c:pt idx="200">
                  <c:v>10549.347</c:v>
                </c:pt>
                <c:pt idx="201">
                  <c:v>8740.4719999999998</c:v>
                </c:pt>
                <c:pt idx="202">
                  <c:v>22125.249</c:v>
                </c:pt>
                <c:pt idx="203">
                  <c:v>23893.394</c:v>
                </c:pt>
                <c:pt idx="204">
                  <c:v>9952.7870000000003</c:v>
                </c:pt>
                <c:pt idx="205">
                  <c:v>65497.748</c:v>
                </c:pt>
                <c:pt idx="206">
                  <c:v>71697.03</c:v>
                </c:pt>
                <c:pt idx="207">
                  <c:v>1341.296</c:v>
                </c:pt>
                <c:pt idx="208">
                  <c:v>8848.6990000000005</c:v>
                </c:pt>
                <c:pt idx="209">
                  <c:v>1.871</c:v>
                </c:pt>
                <c:pt idx="210">
                  <c:v>106.858</c:v>
                </c:pt>
                <c:pt idx="211">
                  <c:v>1531.0440000000001</c:v>
                </c:pt>
                <c:pt idx="212">
                  <c:v>12356.117</c:v>
                </c:pt>
                <c:pt idx="213">
                  <c:v>85341.240999999995</c:v>
                </c:pt>
                <c:pt idx="214">
                  <c:v>6430.77</c:v>
                </c:pt>
                <c:pt idx="215">
                  <c:v>45.703000000000003</c:v>
                </c:pt>
                <c:pt idx="216">
                  <c:v>11.311999999999999</c:v>
                </c:pt>
                <c:pt idx="217">
                  <c:v>47249.584999999999</c:v>
                </c:pt>
                <c:pt idx="218">
                  <c:v>39701.739000000001</c:v>
                </c:pt>
                <c:pt idx="219">
                  <c:v>9441.1290000000008</c:v>
                </c:pt>
                <c:pt idx="220">
                  <c:v>67508.936000000002</c:v>
                </c:pt>
                <c:pt idx="221">
                  <c:v>338289.85700000002</c:v>
                </c:pt>
                <c:pt idx="222">
                  <c:v>99.465000000000003</c:v>
                </c:pt>
                <c:pt idx="223">
                  <c:v>3422.7939999999999</c:v>
                </c:pt>
                <c:pt idx="224">
                  <c:v>34627.652000000002</c:v>
                </c:pt>
                <c:pt idx="225">
                  <c:v>326.74</c:v>
                </c:pt>
                <c:pt idx="226">
                  <c:v>0.51</c:v>
                </c:pt>
                <c:pt idx="227">
                  <c:v>28301.696</c:v>
                </c:pt>
                <c:pt idx="228">
                  <c:v>98186.856</c:v>
                </c:pt>
                <c:pt idx="229">
                  <c:v>11.571999999999999</c:v>
                </c:pt>
                <c:pt idx="230">
                  <c:v>575.98599999999999</c:v>
                </c:pt>
                <c:pt idx="231">
                  <c:v>33696.614000000001</c:v>
                </c:pt>
                <c:pt idx="232">
                  <c:v>20017.674999999999</c:v>
                </c:pt>
                <c:pt idx="233">
                  <c:v>16320.537</c:v>
                </c:pt>
              </c:numCache>
            </c:numRef>
          </c:val>
        </c:ser>
        <c:ser>
          <c:idx val="3"/>
          <c:order val="3"/>
          <c:tx>
            <c:strRef>
              <c:f>population_data!$AA$18</c:f>
              <c:strCache>
                <c:ptCount val="1"/>
                <c:pt idx="0">
                  <c:v>Sum of pop2021</c:v>
                </c:pt>
              </c:strCache>
            </c:strRef>
          </c:tx>
          <c:invertIfNegative val="0"/>
          <c:cat>
            <c:strRef>
              <c:f>population_data!$W$19:$W$253</c:f>
              <c:strCache>
                <c:ptCount val="234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American Samoa</c:v>
                </c:pt>
                <c:pt idx="4">
                  <c:v>Andorra</c:v>
                </c:pt>
                <c:pt idx="5">
                  <c:v>Angola</c:v>
                </c:pt>
                <c:pt idx="6">
                  <c:v>Anguilla</c:v>
                </c:pt>
                <c:pt idx="7">
                  <c:v>Antigua and Barbuda</c:v>
                </c:pt>
                <c:pt idx="8">
                  <c:v>Argentina</c:v>
                </c:pt>
                <c:pt idx="9">
                  <c:v>Armenia</c:v>
                </c:pt>
                <c:pt idx="10">
                  <c:v>Aruba</c:v>
                </c:pt>
                <c:pt idx="11">
                  <c:v>Australia</c:v>
                </c:pt>
                <c:pt idx="12">
                  <c:v>Austria</c:v>
                </c:pt>
                <c:pt idx="13">
                  <c:v>Azerbaijan</c:v>
                </c:pt>
                <c:pt idx="14">
                  <c:v>Bahamas</c:v>
                </c:pt>
                <c:pt idx="15">
                  <c:v>Bahrain</c:v>
                </c:pt>
                <c:pt idx="16">
                  <c:v>Bangladesh</c:v>
                </c:pt>
                <c:pt idx="17">
                  <c:v>Barbados</c:v>
                </c:pt>
                <c:pt idx="18">
                  <c:v>Belarus</c:v>
                </c:pt>
                <c:pt idx="19">
                  <c:v>Belgium</c:v>
                </c:pt>
                <c:pt idx="20">
                  <c:v>Belize</c:v>
                </c:pt>
                <c:pt idx="21">
                  <c:v>Benin</c:v>
                </c:pt>
                <c:pt idx="22">
                  <c:v>Bermuda</c:v>
                </c:pt>
                <c:pt idx="23">
                  <c:v>Bhutan</c:v>
                </c:pt>
                <c:pt idx="24">
                  <c:v>Bolivia</c:v>
                </c:pt>
                <c:pt idx="25">
                  <c:v>Bosnia and Herzegovina</c:v>
                </c:pt>
                <c:pt idx="26">
                  <c:v>Botswana</c:v>
                </c:pt>
                <c:pt idx="27">
                  <c:v>Brazil</c:v>
                </c:pt>
                <c:pt idx="28">
                  <c:v>British Virgin Islands</c:v>
                </c:pt>
                <c:pt idx="29">
                  <c:v>Brunei</c:v>
                </c:pt>
                <c:pt idx="30">
                  <c:v>Bulgaria</c:v>
                </c:pt>
                <c:pt idx="31">
                  <c:v>Burkina Faso</c:v>
                </c:pt>
                <c:pt idx="32">
                  <c:v>Burundi</c:v>
                </c:pt>
                <c:pt idx="33">
                  <c:v>Cambodia</c:v>
                </c:pt>
                <c:pt idx="34">
                  <c:v>Cameroon</c:v>
                </c:pt>
                <c:pt idx="35">
                  <c:v>Canada</c:v>
                </c:pt>
                <c:pt idx="36">
                  <c:v>Cape Verde</c:v>
                </c:pt>
                <c:pt idx="37">
                  <c:v>Cayman Islands</c:v>
                </c:pt>
                <c:pt idx="38">
                  <c:v>Central African Republic</c:v>
                </c:pt>
                <c:pt idx="39">
                  <c:v>Chad</c:v>
                </c:pt>
                <c:pt idx="40">
                  <c:v>Chile</c:v>
                </c:pt>
                <c:pt idx="41">
                  <c:v>China</c:v>
                </c:pt>
                <c:pt idx="42">
                  <c:v>Colombia</c:v>
                </c:pt>
                <c:pt idx="43">
                  <c:v>Comoros</c:v>
                </c:pt>
                <c:pt idx="44">
                  <c:v>Cook Islands</c:v>
                </c:pt>
                <c:pt idx="45">
                  <c:v>Costa Rica</c:v>
                </c:pt>
                <c:pt idx="46">
                  <c:v>Croatia</c:v>
                </c:pt>
                <c:pt idx="47">
                  <c:v>Cuba</c:v>
                </c:pt>
                <c:pt idx="48">
                  <c:v>Curacao</c:v>
                </c:pt>
                <c:pt idx="49">
                  <c:v>Cyprus</c:v>
                </c:pt>
                <c:pt idx="50">
                  <c:v>Czech Republic</c:v>
                </c:pt>
                <c:pt idx="51">
                  <c:v>Denmark</c:v>
                </c:pt>
                <c:pt idx="52">
                  <c:v>Djibouti</c:v>
                </c:pt>
                <c:pt idx="53">
                  <c:v>Dominica</c:v>
                </c:pt>
                <c:pt idx="54">
                  <c:v>Dominican Republic</c:v>
                </c:pt>
                <c:pt idx="55">
                  <c:v>DR Congo</c:v>
                </c:pt>
                <c:pt idx="56">
                  <c:v>Ecuador</c:v>
                </c:pt>
                <c:pt idx="57">
                  <c:v>Egypt</c:v>
                </c:pt>
                <c:pt idx="58">
                  <c:v>El Salvador</c:v>
                </c:pt>
                <c:pt idx="59">
                  <c:v>Equatorial Guinea</c:v>
                </c:pt>
                <c:pt idx="60">
                  <c:v>Eritrea</c:v>
                </c:pt>
                <c:pt idx="61">
                  <c:v>Estonia</c:v>
                </c:pt>
                <c:pt idx="62">
                  <c:v>Eswatini</c:v>
                </c:pt>
                <c:pt idx="63">
                  <c:v>Ethiopia</c:v>
                </c:pt>
                <c:pt idx="64">
                  <c:v>Falkland Islands</c:v>
                </c:pt>
                <c:pt idx="65">
                  <c:v>Faroe Islands</c:v>
                </c:pt>
                <c:pt idx="66">
                  <c:v>Fiji</c:v>
                </c:pt>
                <c:pt idx="67">
                  <c:v>Finland</c:v>
                </c:pt>
                <c:pt idx="68">
                  <c:v>France</c:v>
                </c:pt>
                <c:pt idx="69">
                  <c:v>French Guiana</c:v>
                </c:pt>
                <c:pt idx="70">
                  <c:v>French Polynesia</c:v>
                </c:pt>
                <c:pt idx="71">
                  <c:v>Gabon</c:v>
                </c:pt>
                <c:pt idx="72">
                  <c:v>Gambia</c:v>
                </c:pt>
                <c:pt idx="73">
                  <c:v>Georgia</c:v>
                </c:pt>
                <c:pt idx="74">
                  <c:v>Germany</c:v>
                </c:pt>
                <c:pt idx="75">
                  <c:v>Ghana</c:v>
                </c:pt>
                <c:pt idx="76">
                  <c:v>Gibraltar</c:v>
                </c:pt>
                <c:pt idx="77">
                  <c:v>Greece</c:v>
                </c:pt>
                <c:pt idx="78">
                  <c:v>Greenland</c:v>
                </c:pt>
                <c:pt idx="79">
                  <c:v>Grenada</c:v>
                </c:pt>
                <c:pt idx="80">
                  <c:v>Guadeloupe</c:v>
                </c:pt>
                <c:pt idx="81">
                  <c:v>Guam</c:v>
                </c:pt>
                <c:pt idx="82">
                  <c:v>Guatemala</c:v>
                </c:pt>
                <c:pt idx="83">
                  <c:v>Guernsey</c:v>
                </c:pt>
                <c:pt idx="84">
                  <c:v>Guinea</c:v>
                </c:pt>
                <c:pt idx="85">
                  <c:v>Guinea-Bissau</c:v>
                </c:pt>
                <c:pt idx="86">
                  <c:v>Guyana</c:v>
                </c:pt>
                <c:pt idx="87">
                  <c:v>Haiti</c:v>
                </c:pt>
                <c:pt idx="88">
                  <c:v>Honduras</c:v>
                </c:pt>
                <c:pt idx="89">
                  <c:v>Hong Kong</c:v>
                </c:pt>
                <c:pt idx="90">
                  <c:v>Hungary</c:v>
                </c:pt>
                <c:pt idx="91">
                  <c:v>Iceland</c:v>
                </c:pt>
                <c:pt idx="92">
                  <c:v>India</c:v>
                </c:pt>
                <c:pt idx="93">
                  <c:v>Indonesia</c:v>
                </c:pt>
                <c:pt idx="94">
                  <c:v>Iran</c:v>
                </c:pt>
                <c:pt idx="95">
                  <c:v>Iraq</c:v>
                </c:pt>
                <c:pt idx="96">
                  <c:v>Ireland</c:v>
                </c:pt>
                <c:pt idx="97">
                  <c:v>Isle of Man</c:v>
                </c:pt>
                <c:pt idx="98">
                  <c:v>Israel</c:v>
                </c:pt>
                <c:pt idx="99">
                  <c:v>Italy</c:v>
                </c:pt>
                <c:pt idx="100">
                  <c:v>Ivory Coast</c:v>
                </c:pt>
                <c:pt idx="101">
                  <c:v>Jamaica</c:v>
                </c:pt>
                <c:pt idx="102">
                  <c:v>Japan</c:v>
                </c:pt>
                <c:pt idx="103">
                  <c:v>Jersey</c:v>
                </c:pt>
                <c:pt idx="104">
                  <c:v>Jordan</c:v>
                </c:pt>
                <c:pt idx="105">
                  <c:v>Kazakhstan</c:v>
                </c:pt>
                <c:pt idx="106">
                  <c:v>Kenya</c:v>
                </c:pt>
                <c:pt idx="107">
                  <c:v>Kiribati</c:v>
                </c:pt>
                <c:pt idx="108">
                  <c:v>Kuwait</c:v>
                </c:pt>
                <c:pt idx="109">
                  <c:v>Kyrgyzstan</c:v>
                </c:pt>
                <c:pt idx="110">
                  <c:v>Laos</c:v>
                </c:pt>
                <c:pt idx="111">
                  <c:v>Latvia</c:v>
                </c:pt>
                <c:pt idx="112">
                  <c:v>Lebanon</c:v>
                </c:pt>
                <c:pt idx="113">
                  <c:v>Lesotho</c:v>
                </c:pt>
                <c:pt idx="114">
                  <c:v>Liberia</c:v>
                </c:pt>
                <c:pt idx="115">
                  <c:v>Libya</c:v>
                </c:pt>
                <c:pt idx="116">
                  <c:v>Liechtenstein</c:v>
                </c:pt>
                <c:pt idx="117">
                  <c:v>Lithuania</c:v>
                </c:pt>
                <c:pt idx="118">
                  <c:v>Luxembourg</c:v>
                </c:pt>
                <c:pt idx="119">
                  <c:v>Macau</c:v>
                </c:pt>
                <c:pt idx="120">
                  <c:v>Madagascar</c:v>
                </c:pt>
                <c:pt idx="121">
                  <c:v>Malawi</c:v>
                </c:pt>
                <c:pt idx="122">
                  <c:v>Malaysia</c:v>
                </c:pt>
                <c:pt idx="123">
                  <c:v>Maldives</c:v>
                </c:pt>
                <c:pt idx="124">
                  <c:v>Mali</c:v>
                </c:pt>
                <c:pt idx="125">
                  <c:v>Malta</c:v>
                </c:pt>
                <c:pt idx="126">
                  <c:v>Marshall Islands</c:v>
                </c:pt>
                <c:pt idx="127">
                  <c:v>Martinique</c:v>
                </c:pt>
                <c:pt idx="128">
                  <c:v>Mauritania</c:v>
                </c:pt>
                <c:pt idx="129">
                  <c:v>Mauritius</c:v>
                </c:pt>
                <c:pt idx="130">
                  <c:v>Mayotte</c:v>
                </c:pt>
                <c:pt idx="131">
                  <c:v>Mexico</c:v>
                </c:pt>
                <c:pt idx="132">
                  <c:v>Micronesia</c:v>
                </c:pt>
                <c:pt idx="133">
                  <c:v>Moldova</c:v>
                </c:pt>
                <c:pt idx="134">
                  <c:v>Monaco</c:v>
                </c:pt>
                <c:pt idx="135">
                  <c:v>Mongolia</c:v>
                </c:pt>
                <c:pt idx="136">
                  <c:v>Montenegro</c:v>
                </c:pt>
                <c:pt idx="137">
                  <c:v>Montserrat</c:v>
                </c:pt>
                <c:pt idx="138">
                  <c:v>Morocco</c:v>
                </c:pt>
                <c:pt idx="139">
                  <c:v>Mozambique</c:v>
                </c:pt>
                <c:pt idx="140">
                  <c:v>Myanmar</c:v>
                </c:pt>
                <c:pt idx="141">
                  <c:v>Namibia</c:v>
                </c:pt>
                <c:pt idx="142">
                  <c:v>Nauru</c:v>
                </c:pt>
                <c:pt idx="143">
                  <c:v>Nepal</c:v>
                </c:pt>
                <c:pt idx="144">
                  <c:v>Netherlands</c:v>
                </c:pt>
                <c:pt idx="145">
                  <c:v>New Caledonia</c:v>
                </c:pt>
                <c:pt idx="146">
                  <c:v>New Zealand</c:v>
                </c:pt>
                <c:pt idx="147">
                  <c:v>Nicaragua</c:v>
                </c:pt>
                <c:pt idx="148">
                  <c:v>Niger</c:v>
                </c:pt>
                <c:pt idx="149">
                  <c:v>Nigeria</c:v>
                </c:pt>
                <c:pt idx="150">
                  <c:v>Niue</c:v>
                </c:pt>
                <c:pt idx="151">
                  <c:v>North Korea</c:v>
                </c:pt>
                <c:pt idx="152">
                  <c:v>North Macedonia</c:v>
                </c:pt>
                <c:pt idx="153">
                  <c:v>Northern Mariana Islands</c:v>
                </c:pt>
                <c:pt idx="154">
                  <c:v>Norway</c:v>
                </c:pt>
                <c:pt idx="155">
                  <c:v>Oman</c:v>
                </c:pt>
                <c:pt idx="156">
                  <c:v>Pakistan</c:v>
                </c:pt>
                <c:pt idx="157">
                  <c:v>Palau</c:v>
                </c:pt>
                <c:pt idx="158">
                  <c:v>Palestine</c:v>
                </c:pt>
                <c:pt idx="159">
                  <c:v>Panama</c:v>
                </c:pt>
                <c:pt idx="160">
                  <c:v>Papua New Guinea</c:v>
                </c:pt>
                <c:pt idx="161">
                  <c:v>Paraguay</c:v>
                </c:pt>
                <c:pt idx="162">
                  <c:v>Peru</c:v>
                </c:pt>
                <c:pt idx="163">
                  <c:v>Philippines</c:v>
                </c:pt>
                <c:pt idx="164">
                  <c:v>Poland</c:v>
                </c:pt>
                <c:pt idx="165">
                  <c:v>Portugal</c:v>
                </c:pt>
                <c:pt idx="166">
                  <c:v>Puerto Rico</c:v>
                </c:pt>
                <c:pt idx="167">
                  <c:v>Qatar</c:v>
                </c:pt>
                <c:pt idx="168">
                  <c:v>Republic of the Congo</c:v>
                </c:pt>
                <c:pt idx="169">
                  <c:v>Reunion</c:v>
                </c:pt>
                <c:pt idx="170">
                  <c:v>Romania</c:v>
                </c:pt>
                <c:pt idx="171">
                  <c:v>Russia</c:v>
                </c:pt>
                <c:pt idx="172">
                  <c:v>Rwanda</c:v>
                </c:pt>
                <c:pt idx="173">
                  <c:v>Saint Barthelemy</c:v>
                </c:pt>
                <c:pt idx="174">
                  <c:v>Saint Kitts and Nevis</c:v>
                </c:pt>
                <c:pt idx="175">
                  <c:v>Saint Lucia</c:v>
                </c:pt>
                <c:pt idx="176">
                  <c:v>Saint Martin</c:v>
                </c:pt>
                <c:pt idx="177">
                  <c:v>Saint Pierre and Miquelon</c:v>
                </c:pt>
                <c:pt idx="178">
                  <c:v>Saint Vincent and the Grenadines</c:v>
                </c:pt>
                <c:pt idx="179">
                  <c:v>Samoa</c:v>
                </c:pt>
                <c:pt idx="180">
                  <c:v>San Marino</c:v>
                </c:pt>
                <c:pt idx="181">
                  <c:v>Sao Tome and Principe</c:v>
                </c:pt>
                <c:pt idx="182">
                  <c:v>Saudi Arabia</c:v>
                </c:pt>
                <c:pt idx="183">
                  <c:v>Senegal</c:v>
                </c:pt>
                <c:pt idx="184">
                  <c:v>Serbia</c:v>
                </c:pt>
                <c:pt idx="185">
                  <c:v>Seychelles</c:v>
                </c:pt>
                <c:pt idx="186">
                  <c:v>Sierra Leone</c:v>
                </c:pt>
                <c:pt idx="187">
                  <c:v>Singapore</c:v>
                </c:pt>
                <c:pt idx="188">
                  <c:v>Sint Maarten</c:v>
                </c:pt>
                <c:pt idx="189">
                  <c:v>Slovakia</c:v>
                </c:pt>
                <c:pt idx="190">
                  <c:v>Slovenia</c:v>
                </c:pt>
                <c:pt idx="191">
                  <c:v>Solomon Islands</c:v>
                </c:pt>
                <c:pt idx="192">
                  <c:v>Somalia</c:v>
                </c:pt>
                <c:pt idx="193">
                  <c:v>South Africa</c:v>
                </c:pt>
                <c:pt idx="194">
                  <c:v>South Korea</c:v>
                </c:pt>
                <c:pt idx="195">
                  <c:v>South Sudan</c:v>
                </c:pt>
                <c:pt idx="196">
                  <c:v>Spain</c:v>
                </c:pt>
                <c:pt idx="197">
                  <c:v>Sri Lanka</c:v>
                </c:pt>
                <c:pt idx="198">
                  <c:v>Sudan</c:v>
                </c:pt>
                <c:pt idx="199">
                  <c:v>Suriname</c:v>
                </c:pt>
                <c:pt idx="200">
                  <c:v>Sweden</c:v>
                </c:pt>
                <c:pt idx="201">
                  <c:v>Switzerland</c:v>
                </c:pt>
                <c:pt idx="202">
                  <c:v>Syria</c:v>
                </c:pt>
                <c:pt idx="203">
                  <c:v>Taiwan</c:v>
                </c:pt>
                <c:pt idx="204">
                  <c:v>Tajikistan</c:v>
                </c:pt>
                <c:pt idx="205">
                  <c:v>Tanzania</c:v>
                </c:pt>
                <c:pt idx="206">
                  <c:v>Thailand</c:v>
                </c:pt>
                <c:pt idx="207">
                  <c:v>Timor-Leste</c:v>
                </c:pt>
                <c:pt idx="208">
                  <c:v>Togo</c:v>
                </c:pt>
                <c:pt idx="209">
                  <c:v>Tokelau</c:v>
                </c:pt>
                <c:pt idx="210">
                  <c:v>Tonga</c:v>
                </c:pt>
                <c:pt idx="211">
                  <c:v>Trinidad and Tobago</c:v>
                </c:pt>
                <c:pt idx="212">
                  <c:v>Tunisia</c:v>
                </c:pt>
                <c:pt idx="213">
                  <c:v>Turkey</c:v>
                </c:pt>
                <c:pt idx="214">
                  <c:v>Turkmenistan</c:v>
                </c:pt>
                <c:pt idx="215">
                  <c:v>Turks and Caicos Islands</c:v>
                </c:pt>
                <c:pt idx="216">
                  <c:v>Tuvalu</c:v>
                </c:pt>
                <c:pt idx="217">
                  <c:v>Uganda</c:v>
                </c:pt>
                <c:pt idx="218">
                  <c:v>Ukraine</c:v>
                </c:pt>
                <c:pt idx="219">
                  <c:v>United Arab Emirates</c:v>
                </c:pt>
                <c:pt idx="220">
                  <c:v>United Kingdom</c:v>
                </c:pt>
                <c:pt idx="221">
                  <c:v>United States</c:v>
                </c:pt>
                <c:pt idx="222">
                  <c:v>United States Virgin Islands</c:v>
                </c:pt>
                <c:pt idx="223">
                  <c:v>Uruguay</c:v>
                </c:pt>
                <c:pt idx="224">
                  <c:v>Uzbekistan</c:v>
                </c:pt>
                <c:pt idx="225">
                  <c:v>Vanuatu</c:v>
                </c:pt>
                <c:pt idx="226">
                  <c:v>Vatican City</c:v>
                </c:pt>
                <c:pt idx="227">
                  <c:v>Venezuela</c:v>
                </c:pt>
                <c:pt idx="228">
                  <c:v>Vietnam</c:v>
                </c:pt>
                <c:pt idx="229">
                  <c:v>Wallis and Futuna</c:v>
                </c:pt>
                <c:pt idx="230">
                  <c:v>Western Sahara</c:v>
                </c:pt>
                <c:pt idx="231">
                  <c:v>Yemen</c:v>
                </c:pt>
                <c:pt idx="232">
                  <c:v>Zambia</c:v>
                </c:pt>
                <c:pt idx="233">
                  <c:v>Zimbabwe</c:v>
                </c:pt>
              </c:strCache>
            </c:strRef>
          </c:cat>
          <c:val>
            <c:numRef>
              <c:f>population_data!$AA$19:$AA$253</c:f>
              <c:numCache>
                <c:formatCode>General</c:formatCode>
                <c:ptCount val="234"/>
                <c:pt idx="0">
                  <c:v>40099.462</c:v>
                </c:pt>
                <c:pt idx="1">
                  <c:v>2854.71</c:v>
                </c:pt>
                <c:pt idx="2">
                  <c:v>44177.968999999997</c:v>
                </c:pt>
                <c:pt idx="3">
                  <c:v>45.034999999999997</c:v>
                </c:pt>
                <c:pt idx="4">
                  <c:v>79.034000000000006</c:v>
                </c:pt>
                <c:pt idx="5">
                  <c:v>34503.773999999998</c:v>
                </c:pt>
                <c:pt idx="6">
                  <c:v>15.753</c:v>
                </c:pt>
                <c:pt idx="7">
                  <c:v>93.218999999999994</c:v>
                </c:pt>
                <c:pt idx="8">
                  <c:v>45276.78</c:v>
                </c:pt>
                <c:pt idx="9">
                  <c:v>2790.9740000000002</c:v>
                </c:pt>
                <c:pt idx="10">
                  <c:v>106.53700000000001</c:v>
                </c:pt>
                <c:pt idx="11">
                  <c:v>25921.089</c:v>
                </c:pt>
                <c:pt idx="12">
                  <c:v>8922.0820000000003</c:v>
                </c:pt>
                <c:pt idx="13">
                  <c:v>10312.992</c:v>
                </c:pt>
                <c:pt idx="14">
                  <c:v>407.90600000000001</c:v>
                </c:pt>
                <c:pt idx="15">
                  <c:v>1463.2650000000001</c:v>
                </c:pt>
                <c:pt idx="16">
                  <c:v>169356.25099999999</c:v>
                </c:pt>
                <c:pt idx="17">
                  <c:v>281.2</c:v>
                </c:pt>
                <c:pt idx="18">
                  <c:v>9578.1669999999995</c:v>
                </c:pt>
                <c:pt idx="19">
                  <c:v>11611.419</c:v>
                </c:pt>
                <c:pt idx="20">
                  <c:v>400.03100000000001</c:v>
                </c:pt>
                <c:pt idx="21">
                  <c:v>12996.895</c:v>
                </c:pt>
                <c:pt idx="22">
                  <c:v>64.185000000000002</c:v>
                </c:pt>
                <c:pt idx="23">
                  <c:v>777.48599999999999</c:v>
                </c:pt>
                <c:pt idx="24">
                  <c:v>12079.472</c:v>
                </c:pt>
                <c:pt idx="25">
                  <c:v>3270.9430000000002</c:v>
                </c:pt>
                <c:pt idx="26">
                  <c:v>2588.4229999999998</c:v>
                </c:pt>
                <c:pt idx="27">
                  <c:v>214326.223</c:v>
                </c:pt>
                <c:pt idx="28">
                  <c:v>31.122</c:v>
                </c:pt>
                <c:pt idx="29">
                  <c:v>445.37299999999999</c:v>
                </c:pt>
                <c:pt idx="30">
                  <c:v>6885.8680000000004</c:v>
                </c:pt>
                <c:pt idx="31">
                  <c:v>22100.683000000001</c:v>
                </c:pt>
                <c:pt idx="32">
                  <c:v>12551.213</c:v>
                </c:pt>
                <c:pt idx="33">
                  <c:v>16589.023000000001</c:v>
                </c:pt>
                <c:pt idx="34">
                  <c:v>27198.628000000001</c:v>
                </c:pt>
                <c:pt idx="35">
                  <c:v>38155.012000000002</c:v>
                </c:pt>
                <c:pt idx="36">
                  <c:v>587.92499999999995</c:v>
                </c:pt>
                <c:pt idx="37">
                  <c:v>68.135999999999996</c:v>
                </c:pt>
                <c:pt idx="38">
                  <c:v>5457.1540000000005</c:v>
                </c:pt>
                <c:pt idx="39">
                  <c:v>17179.740000000002</c:v>
                </c:pt>
                <c:pt idx="40">
                  <c:v>19493.184000000001</c:v>
                </c:pt>
                <c:pt idx="41">
                  <c:v>1425893.4650000001</c:v>
                </c:pt>
                <c:pt idx="42">
                  <c:v>51516.561999999998</c:v>
                </c:pt>
                <c:pt idx="43">
                  <c:v>821.625</c:v>
                </c:pt>
                <c:pt idx="44">
                  <c:v>17.003</c:v>
                </c:pt>
                <c:pt idx="45">
                  <c:v>5153.9570000000003</c:v>
                </c:pt>
                <c:pt idx="46">
                  <c:v>4060.1350000000002</c:v>
                </c:pt>
                <c:pt idx="47">
                  <c:v>11256.371999999999</c:v>
                </c:pt>
                <c:pt idx="48">
                  <c:v>190.33799999999999</c:v>
                </c:pt>
                <c:pt idx="49">
                  <c:v>1244.1880000000001</c:v>
                </c:pt>
                <c:pt idx="50">
                  <c:v>10510.751</c:v>
                </c:pt>
                <c:pt idx="51">
                  <c:v>5854.24</c:v>
                </c:pt>
                <c:pt idx="52">
                  <c:v>1105.557</c:v>
                </c:pt>
                <c:pt idx="53">
                  <c:v>72.412000000000006</c:v>
                </c:pt>
                <c:pt idx="54">
                  <c:v>11117.873</c:v>
                </c:pt>
                <c:pt idx="55">
                  <c:v>95894.118000000002</c:v>
                </c:pt>
                <c:pt idx="56">
                  <c:v>17797.737000000001</c:v>
                </c:pt>
                <c:pt idx="57">
                  <c:v>109262.178</c:v>
                </c:pt>
                <c:pt idx="58">
                  <c:v>6314.1670000000004</c:v>
                </c:pt>
                <c:pt idx="59">
                  <c:v>1634.4659999999999</c:v>
                </c:pt>
                <c:pt idx="60">
                  <c:v>3620.3119999999999</c:v>
                </c:pt>
                <c:pt idx="61">
                  <c:v>1328.701</c:v>
                </c:pt>
                <c:pt idx="62">
                  <c:v>1192.271</c:v>
                </c:pt>
                <c:pt idx="63">
                  <c:v>120283.026</c:v>
                </c:pt>
                <c:pt idx="64">
                  <c:v>3.7639999999999998</c:v>
                </c:pt>
                <c:pt idx="65">
                  <c:v>52.889000000000003</c:v>
                </c:pt>
                <c:pt idx="66">
                  <c:v>924.61</c:v>
                </c:pt>
                <c:pt idx="67">
                  <c:v>5535.9920000000002</c:v>
                </c:pt>
                <c:pt idx="68">
                  <c:v>64531.444000000003</c:v>
                </c:pt>
                <c:pt idx="69">
                  <c:v>297.44900000000001</c:v>
                </c:pt>
                <c:pt idx="70">
                  <c:v>304.03199999999998</c:v>
                </c:pt>
                <c:pt idx="71">
                  <c:v>2341.1790000000001</c:v>
                </c:pt>
                <c:pt idx="72">
                  <c:v>2639.9160000000002</c:v>
                </c:pt>
                <c:pt idx="73">
                  <c:v>3757.98</c:v>
                </c:pt>
                <c:pt idx="74">
                  <c:v>83408.554000000004</c:v>
                </c:pt>
                <c:pt idx="75">
                  <c:v>32833.031000000003</c:v>
                </c:pt>
                <c:pt idx="76">
                  <c:v>32.668999999999997</c:v>
                </c:pt>
                <c:pt idx="77">
                  <c:v>10445.365</c:v>
                </c:pt>
                <c:pt idx="78">
                  <c:v>56.243000000000002</c:v>
                </c:pt>
                <c:pt idx="79">
                  <c:v>124.61</c:v>
                </c:pt>
                <c:pt idx="80">
                  <c:v>396.05099999999999</c:v>
                </c:pt>
                <c:pt idx="81">
                  <c:v>170.53399999999999</c:v>
                </c:pt>
                <c:pt idx="82">
                  <c:v>17608.483</c:v>
                </c:pt>
                <c:pt idx="83">
                  <c:v>63.064999999999998</c:v>
                </c:pt>
                <c:pt idx="84">
                  <c:v>13531.906000000001</c:v>
                </c:pt>
                <c:pt idx="85">
                  <c:v>2060.721</c:v>
                </c:pt>
                <c:pt idx="86">
                  <c:v>804.56700000000001</c:v>
                </c:pt>
                <c:pt idx="87">
                  <c:v>11447.569</c:v>
                </c:pt>
                <c:pt idx="88">
                  <c:v>10278.344999999999</c:v>
                </c:pt>
                <c:pt idx="89">
                  <c:v>7494.5780000000004</c:v>
                </c:pt>
                <c:pt idx="90">
                  <c:v>9709.7860000000001</c:v>
                </c:pt>
                <c:pt idx="91">
                  <c:v>370.33499999999998</c:v>
                </c:pt>
                <c:pt idx="92">
                  <c:v>1407563.8419999999</c:v>
                </c:pt>
                <c:pt idx="93">
                  <c:v>273753.19099999999</c:v>
                </c:pt>
                <c:pt idx="94">
                  <c:v>87923.432000000001</c:v>
                </c:pt>
                <c:pt idx="95">
                  <c:v>43533.591999999997</c:v>
                </c:pt>
                <c:pt idx="96">
                  <c:v>4986.5259999999998</c:v>
                </c:pt>
                <c:pt idx="97">
                  <c:v>84.263000000000005</c:v>
                </c:pt>
                <c:pt idx="98">
                  <c:v>8900.0589999999993</c:v>
                </c:pt>
                <c:pt idx="99">
                  <c:v>59240.328999999998</c:v>
                </c:pt>
                <c:pt idx="100">
                  <c:v>27478.249</c:v>
                </c:pt>
                <c:pt idx="101">
                  <c:v>2827.6950000000002</c:v>
                </c:pt>
                <c:pt idx="102">
                  <c:v>124612.53</c:v>
                </c:pt>
                <c:pt idx="103">
                  <c:v>109.61799999999999</c:v>
                </c:pt>
                <c:pt idx="104">
                  <c:v>11148.278</c:v>
                </c:pt>
                <c:pt idx="105">
                  <c:v>19196.465</c:v>
                </c:pt>
                <c:pt idx="106">
                  <c:v>53005.614000000001</c:v>
                </c:pt>
                <c:pt idx="107">
                  <c:v>128.874</c:v>
                </c:pt>
                <c:pt idx="108">
                  <c:v>4250.1139999999996</c:v>
                </c:pt>
                <c:pt idx="109">
                  <c:v>6527.7430000000004</c:v>
                </c:pt>
                <c:pt idx="110">
                  <c:v>7425.0569999999998</c:v>
                </c:pt>
                <c:pt idx="111">
                  <c:v>1873.9190000000001</c:v>
                </c:pt>
                <c:pt idx="112">
                  <c:v>5592.6310000000003</c:v>
                </c:pt>
                <c:pt idx="113">
                  <c:v>2281.4540000000002</c:v>
                </c:pt>
                <c:pt idx="114">
                  <c:v>5193.4160000000002</c:v>
                </c:pt>
                <c:pt idx="115">
                  <c:v>6735.277</c:v>
                </c:pt>
                <c:pt idx="116">
                  <c:v>39.039000000000001</c:v>
                </c:pt>
                <c:pt idx="117">
                  <c:v>2786.6509999999998</c:v>
                </c:pt>
                <c:pt idx="118">
                  <c:v>639.32100000000003</c:v>
                </c:pt>
                <c:pt idx="119">
                  <c:v>686.60699999999997</c:v>
                </c:pt>
                <c:pt idx="120">
                  <c:v>28915.652999999998</c:v>
                </c:pt>
                <c:pt idx="121">
                  <c:v>19889.741999999998</c:v>
                </c:pt>
                <c:pt idx="122">
                  <c:v>33573.874000000003</c:v>
                </c:pt>
                <c:pt idx="123">
                  <c:v>521.45699999999999</c:v>
                </c:pt>
                <c:pt idx="124">
                  <c:v>21904.983</c:v>
                </c:pt>
                <c:pt idx="125">
                  <c:v>526.74800000000005</c:v>
                </c:pt>
                <c:pt idx="126">
                  <c:v>42.05</c:v>
                </c:pt>
                <c:pt idx="127">
                  <c:v>368.79599999999999</c:v>
                </c:pt>
                <c:pt idx="128">
                  <c:v>4614.9740000000002</c:v>
                </c:pt>
                <c:pt idx="129">
                  <c:v>1298.915</c:v>
                </c:pt>
                <c:pt idx="130">
                  <c:v>316.01400000000001</c:v>
                </c:pt>
                <c:pt idx="131">
                  <c:v>126705.13800000001</c:v>
                </c:pt>
                <c:pt idx="132">
                  <c:v>113.131</c:v>
                </c:pt>
                <c:pt idx="133">
                  <c:v>3061.5059999999999</c:v>
                </c:pt>
                <c:pt idx="134">
                  <c:v>36.686</c:v>
                </c:pt>
                <c:pt idx="135">
                  <c:v>3347.7820000000002</c:v>
                </c:pt>
                <c:pt idx="136">
                  <c:v>627.85900000000004</c:v>
                </c:pt>
                <c:pt idx="137">
                  <c:v>4.4169999999999998</c:v>
                </c:pt>
                <c:pt idx="138">
                  <c:v>37076.584000000003</c:v>
                </c:pt>
                <c:pt idx="139">
                  <c:v>32077.072</c:v>
                </c:pt>
                <c:pt idx="140">
                  <c:v>53798.084000000003</c:v>
                </c:pt>
                <c:pt idx="141">
                  <c:v>2530.1509999999998</c:v>
                </c:pt>
                <c:pt idx="142">
                  <c:v>12.510999999999999</c:v>
                </c:pt>
                <c:pt idx="143">
                  <c:v>30034.989000000001</c:v>
                </c:pt>
                <c:pt idx="144">
                  <c:v>17501.696</c:v>
                </c:pt>
                <c:pt idx="145">
                  <c:v>287.8</c:v>
                </c:pt>
                <c:pt idx="146">
                  <c:v>5129.7269999999999</c:v>
                </c:pt>
                <c:pt idx="147">
                  <c:v>6850.54</c:v>
                </c:pt>
                <c:pt idx="148">
                  <c:v>25252.722000000002</c:v>
                </c:pt>
                <c:pt idx="149">
                  <c:v>213401.323</c:v>
                </c:pt>
                <c:pt idx="150">
                  <c:v>1.9370000000000001</c:v>
                </c:pt>
                <c:pt idx="151">
                  <c:v>25971.909</c:v>
                </c:pt>
                <c:pt idx="152">
                  <c:v>2103.33</c:v>
                </c:pt>
                <c:pt idx="153">
                  <c:v>49.481000000000002</c:v>
                </c:pt>
                <c:pt idx="154">
                  <c:v>5403.0209999999997</c:v>
                </c:pt>
                <c:pt idx="155">
                  <c:v>4520.4709999999995</c:v>
                </c:pt>
                <c:pt idx="156">
                  <c:v>231402.117</c:v>
                </c:pt>
                <c:pt idx="157">
                  <c:v>18.024000000000001</c:v>
                </c:pt>
                <c:pt idx="158">
                  <c:v>5133.3919999999998</c:v>
                </c:pt>
                <c:pt idx="159">
                  <c:v>4351.2669999999998</c:v>
                </c:pt>
                <c:pt idx="160">
                  <c:v>9949.4369999999999</c:v>
                </c:pt>
                <c:pt idx="161">
                  <c:v>6703.799</c:v>
                </c:pt>
                <c:pt idx="162">
                  <c:v>33715.470999999998</c:v>
                </c:pt>
                <c:pt idx="163">
                  <c:v>113880.32799999999</c:v>
                </c:pt>
                <c:pt idx="164">
                  <c:v>38307.726000000002</c:v>
                </c:pt>
                <c:pt idx="165">
                  <c:v>10290.102999999999</c:v>
                </c:pt>
                <c:pt idx="166">
                  <c:v>3256.0279999999998</c:v>
                </c:pt>
                <c:pt idx="167">
                  <c:v>2688.2350000000001</c:v>
                </c:pt>
                <c:pt idx="168">
                  <c:v>5835.8059999999996</c:v>
                </c:pt>
                <c:pt idx="169">
                  <c:v>966.12900000000002</c:v>
                </c:pt>
                <c:pt idx="170">
                  <c:v>19328.560000000001</c:v>
                </c:pt>
                <c:pt idx="171">
                  <c:v>145102.755</c:v>
                </c:pt>
                <c:pt idx="172">
                  <c:v>13461.888000000001</c:v>
                </c:pt>
                <c:pt idx="173">
                  <c:v>10.861000000000001</c:v>
                </c:pt>
                <c:pt idx="174">
                  <c:v>47.606000000000002</c:v>
                </c:pt>
                <c:pt idx="175">
                  <c:v>179.65100000000001</c:v>
                </c:pt>
                <c:pt idx="176">
                  <c:v>31.948</c:v>
                </c:pt>
                <c:pt idx="177">
                  <c:v>5.883</c:v>
                </c:pt>
                <c:pt idx="178">
                  <c:v>104.33199999999999</c:v>
                </c:pt>
                <c:pt idx="179">
                  <c:v>218.76400000000001</c:v>
                </c:pt>
                <c:pt idx="180">
                  <c:v>33.744999999999997</c:v>
                </c:pt>
                <c:pt idx="181">
                  <c:v>223.107</c:v>
                </c:pt>
                <c:pt idx="182">
                  <c:v>35950.396000000001</c:v>
                </c:pt>
                <c:pt idx="183">
                  <c:v>16876.72</c:v>
                </c:pt>
                <c:pt idx="184">
                  <c:v>7296.7690000000002</c:v>
                </c:pt>
                <c:pt idx="185">
                  <c:v>106.471</c:v>
                </c:pt>
                <c:pt idx="186">
                  <c:v>8420.6409999999996</c:v>
                </c:pt>
                <c:pt idx="187">
                  <c:v>5941.06</c:v>
                </c:pt>
                <c:pt idx="188">
                  <c:v>44.042000000000002</c:v>
                </c:pt>
                <c:pt idx="189">
                  <c:v>5447.6220000000003</c:v>
                </c:pt>
                <c:pt idx="190">
                  <c:v>2119.41</c:v>
                </c:pt>
                <c:pt idx="191">
                  <c:v>707.851</c:v>
                </c:pt>
                <c:pt idx="192">
                  <c:v>17065.580999999998</c:v>
                </c:pt>
                <c:pt idx="193">
                  <c:v>59392.254999999997</c:v>
                </c:pt>
                <c:pt idx="194">
                  <c:v>51830.139000000003</c:v>
                </c:pt>
                <c:pt idx="195">
                  <c:v>10748.272000000001</c:v>
                </c:pt>
                <c:pt idx="196">
                  <c:v>47486.934999999998</c:v>
                </c:pt>
                <c:pt idx="197">
                  <c:v>21773.440999999999</c:v>
                </c:pt>
                <c:pt idx="198">
                  <c:v>45657.201999999997</c:v>
                </c:pt>
                <c:pt idx="199">
                  <c:v>612.98500000000001</c:v>
                </c:pt>
                <c:pt idx="200">
                  <c:v>10467.097</c:v>
                </c:pt>
                <c:pt idx="201">
                  <c:v>8691.4060000000009</c:v>
                </c:pt>
                <c:pt idx="202">
                  <c:v>21324.366999999998</c:v>
                </c:pt>
                <c:pt idx="203">
                  <c:v>23859.912</c:v>
                </c:pt>
                <c:pt idx="204">
                  <c:v>9750.0640000000003</c:v>
                </c:pt>
                <c:pt idx="205">
                  <c:v>63588.334000000003</c:v>
                </c:pt>
                <c:pt idx="206">
                  <c:v>71601.103000000003</c:v>
                </c:pt>
                <c:pt idx="207">
                  <c:v>1320.942</c:v>
                </c:pt>
                <c:pt idx="208">
                  <c:v>8644.8289999999997</c:v>
                </c:pt>
                <c:pt idx="209">
                  <c:v>1.849</c:v>
                </c:pt>
                <c:pt idx="210">
                  <c:v>106.017</c:v>
                </c:pt>
                <c:pt idx="211">
                  <c:v>1525.663</c:v>
                </c:pt>
                <c:pt idx="212">
                  <c:v>12262.946</c:v>
                </c:pt>
                <c:pt idx="213">
                  <c:v>84775.403999999995</c:v>
                </c:pt>
                <c:pt idx="214">
                  <c:v>6341.8549999999996</c:v>
                </c:pt>
                <c:pt idx="215">
                  <c:v>45.113999999999997</c:v>
                </c:pt>
                <c:pt idx="216">
                  <c:v>11.204000000000001</c:v>
                </c:pt>
                <c:pt idx="217">
                  <c:v>45853.777999999998</c:v>
                </c:pt>
                <c:pt idx="218">
                  <c:v>43531.421999999999</c:v>
                </c:pt>
                <c:pt idx="219">
                  <c:v>9365.1450000000004</c:v>
                </c:pt>
                <c:pt idx="220">
                  <c:v>67281.039000000004</c:v>
                </c:pt>
                <c:pt idx="221">
                  <c:v>336997.62400000001</c:v>
                </c:pt>
                <c:pt idx="222">
                  <c:v>100.09099999999999</c:v>
                </c:pt>
                <c:pt idx="223">
                  <c:v>3426.26</c:v>
                </c:pt>
                <c:pt idx="224">
                  <c:v>34081.449000000001</c:v>
                </c:pt>
                <c:pt idx="225">
                  <c:v>319.137</c:v>
                </c:pt>
                <c:pt idx="226">
                  <c:v>0.51100000000000001</c:v>
                </c:pt>
                <c:pt idx="227">
                  <c:v>28199.866999999998</c:v>
                </c:pt>
                <c:pt idx="228">
                  <c:v>97468.028999999995</c:v>
                </c:pt>
                <c:pt idx="229">
                  <c:v>11.627000000000001</c:v>
                </c:pt>
                <c:pt idx="230">
                  <c:v>565.58100000000002</c:v>
                </c:pt>
                <c:pt idx="231">
                  <c:v>32981.641000000003</c:v>
                </c:pt>
                <c:pt idx="232">
                  <c:v>19473.125</c:v>
                </c:pt>
                <c:pt idx="233">
                  <c:v>15993.523999999999</c:v>
                </c:pt>
              </c:numCache>
            </c:numRef>
          </c:val>
        </c:ser>
        <c:ser>
          <c:idx val="4"/>
          <c:order val="4"/>
          <c:tx>
            <c:strRef>
              <c:f>population_data!$AB$18</c:f>
              <c:strCache>
                <c:ptCount val="1"/>
                <c:pt idx="0">
                  <c:v>Sum of pop2015</c:v>
                </c:pt>
              </c:strCache>
            </c:strRef>
          </c:tx>
          <c:invertIfNegative val="0"/>
          <c:cat>
            <c:strRef>
              <c:f>population_data!$W$19:$W$253</c:f>
              <c:strCache>
                <c:ptCount val="234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American Samoa</c:v>
                </c:pt>
                <c:pt idx="4">
                  <c:v>Andorra</c:v>
                </c:pt>
                <c:pt idx="5">
                  <c:v>Angola</c:v>
                </c:pt>
                <c:pt idx="6">
                  <c:v>Anguilla</c:v>
                </c:pt>
                <c:pt idx="7">
                  <c:v>Antigua and Barbuda</c:v>
                </c:pt>
                <c:pt idx="8">
                  <c:v>Argentina</c:v>
                </c:pt>
                <c:pt idx="9">
                  <c:v>Armenia</c:v>
                </c:pt>
                <c:pt idx="10">
                  <c:v>Aruba</c:v>
                </c:pt>
                <c:pt idx="11">
                  <c:v>Australia</c:v>
                </c:pt>
                <c:pt idx="12">
                  <c:v>Austria</c:v>
                </c:pt>
                <c:pt idx="13">
                  <c:v>Azerbaijan</c:v>
                </c:pt>
                <c:pt idx="14">
                  <c:v>Bahamas</c:v>
                </c:pt>
                <c:pt idx="15">
                  <c:v>Bahrain</c:v>
                </c:pt>
                <c:pt idx="16">
                  <c:v>Bangladesh</c:v>
                </c:pt>
                <c:pt idx="17">
                  <c:v>Barbados</c:v>
                </c:pt>
                <c:pt idx="18">
                  <c:v>Belarus</c:v>
                </c:pt>
                <c:pt idx="19">
                  <c:v>Belgium</c:v>
                </c:pt>
                <c:pt idx="20">
                  <c:v>Belize</c:v>
                </c:pt>
                <c:pt idx="21">
                  <c:v>Benin</c:v>
                </c:pt>
                <c:pt idx="22">
                  <c:v>Bermuda</c:v>
                </c:pt>
                <c:pt idx="23">
                  <c:v>Bhutan</c:v>
                </c:pt>
                <c:pt idx="24">
                  <c:v>Bolivia</c:v>
                </c:pt>
                <c:pt idx="25">
                  <c:v>Bosnia and Herzegovina</c:v>
                </c:pt>
                <c:pt idx="26">
                  <c:v>Botswana</c:v>
                </c:pt>
                <c:pt idx="27">
                  <c:v>Brazil</c:v>
                </c:pt>
                <c:pt idx="28">
                  <c:v>British Virgin Islands</c:v>
                </c:pt>
                <c:pt idx="29">
                  <c:v>Brunei</c:v>
                </c:pt>
                <c:pt idx="30">
                  <c:v>Bulgaria</c:v>
                </c:pt>
                <c:pt idx="31">
                  <c:v>Burkina Faso</c:v>
                </c:pt>
                <c:pt idx="32">
                  <c:v>Burundi</c:v>
                </c:pt>
                <c:pt idx="33">
                  <c:v>Cambodia</c:v>
                </c:pt>
                <c:pt idx="34">
                  <c:v>Cameroon</c:v>
                </c:pt>
                <c:pt idx="35">
                  <c:v>Canada</c:v>
                </c:pt>
                <c:pt idx="36">
                  <c:v>Cape Verde</c:v>
                </c:pt>
                <c:pt idx="37">
                  <c:v>Cayman Islands</c:v>
                </c:pt>
                <c:pt idx="38">
                  <c:v>Central African Republic</c:v>
                </c:pt>
                <c:pt idx="39">
                  <c:v>Chad</c:v>
                </c:pt>
                <c:pt idx="40">
                  <c:v>Chile</c:v>
                </c:pt>
                <c:pt idx="41">
                  <c:v>China</c:v>
                </c:pt>
                <c:pt idx="42">
                  <c:v>Colombia</c:v>
                </c:pt>
                <c:pt idx="43">
                  <c:v>Comoros</c:v>
                </c:pt>
                <c:pt idx="44">
                  <c:v>Cook Islands</c:v>
                </c:pt>
                <c:pt idx="45">
                  <c:v>Costa Rica</c:v>
                </c:pt>
                <c:pt idx="46">
                  <c:v>Croatia</c:v>
                </c:pt>
                <c:pt idx="47">
                  <c:v>Cuba</c:v>
                </c:pt>
                <c:pt idx="48">
                  <c:v>Curacao</c:v>
                </c:pt>
                <c:pt idx="49">
                  <c:v>Cyprus</c:v>
                </c:pt>
                <c:pt idx="50">
                  <c:v>Czech Republic</c:v>
                </c:pt>
                <c:pt idx="51">
                  <c:v>Denmark</c:v>
                </c:pt>
                <c:pt idx="52">
                  <c:v>Djibouti</c:v>
                </c:pt>
                <c:pt idx="53">
                  <c:v>Dominica</c:v>
                </c:pt>
                <c:pt idx="54">
                  <c:v>Dominican Republic</c:v>
                </c:pt>
                <c:pt idx="55">
                  <c:v>DR Congo</c:v>
                </c:pt>
                <c:pt idx="56">
                  <c:v>Ecuador</c:v>
                </c:pt>
                <c:pt idx="57">
                  <c:v>Egypt</c:v>
                </c:pt>
                <c:pt idx="58">
                  <c:v>El Salvador</c:v>
                </c:pt>
                <c:pt idx="59">
                  <c:v>Equatorial Guinea</c:v>
                </c:pt>
                <c:pt idx="60">
                  <c:v>Eritrea</c:v>
                </c:pt>
                <c:pt idx="61">
                  <c:v>Estonia</c:v>
                </c:pt>
                <c:pt idx="62">
                  <c:v>Eswatini</c:v>
                </c:pt>
                <c:pt idx="63">
                  <c:v>Ethiopia</c:v>
                </c:pt>
                <c:pt idx="64">
                  <c:v>Falkland Islands</c:v>
                </c:pt>
                <c:pt idx="65">
                  <c:v>Faroe Islands</c:v>
                </c:pt>
                <c:pt idx="66">
                  <c:v>Fiji</c:v>
                </c:pt>
                <c:pt idx="67">
                  <c:v>Finland</c:v>
                </c:pt>
                <c:pt idx="68">
                  <c:v>France</c:v>
                </c:pt>
                <c:pt idx="69">
                  <c:v>French Guiana</c:v>
                </c:pt>
                <c:pt idx="70">
                  <c:v>French Polynesia</c:v>
                </c:pt>
                <c:pt idx="71">
                  <c:v>Gabon</c:v>
                </c:pt>
                <c:pt idx="72">
                  <c:v>Gambia</c:v>
                </c:pt>
                <c:pt idx="73">
                  <c:v>Georgia</c:v>
                </c:pt>
                <c:pt idx="74">
                  <c:v>Germany</c:v>
                </c:pt>
                <c:pt idx="75">
                  <c:v>Ghana</c:v>
                </c:pt>
                <c:pt idx="76">
                  <c:v>Gibraltar</c:v>
                </c:pt>
                <c:pt idx="77">
                  <c:v>Greece</c:v>
                </c:pt>
                <c:pt idx="78">
                  <c:v>Greenland</c:v>
                </c:pt>
                <c:pt idx="79">
                  <c:v>Grenada</c:v>
                </c:pt>
                <c:pt idx="80">
                  <c:v>Guadeloupe</c:v>
                </c:pt>
                <c:pt idx="81">
                  <c:v>Guam</c:v>
                </c:pt>
                <c:pt idx="82">
                  <c:v>Guatemala</c:v>
                </c:pt>
                <c:pt idx="83">
                  <c:v>Guernsey</c:v>
                </c:pt>
                <c:pt idx="84">
                  <c:v>Guinea</c:v>
                </c:pt>
                <c:pt idx="85">
                  <c:v>Guinea-Bissau</c:v>
                </c:pt>
                <c:pt idx="86">
                  <c:v>Guyana</c:v>
                </c:pt>
                <c:pt idx="87">
                  <c:v>Haiti</c:v>
                </c:pt>
                <c:pt idx="88">
                  <c:v>Honduras</c:v>
                </c:pt>
                <c:pt idx="89">
                  <c:v>Hong Kong</c:v>
                </c:pt>
                <c:pt idx="90">
                  <c:v>Hungary</c:v>
                </c:pt>
                <c:pt idx="91">
                  <c:v>Iceland</c:v>
                </c:pt>
                <c:pt idx="92">
                  <c:v>India</c:v>
                </c:pt>
                <c:pt idx="93">
                  <c:v>Indonesia</c:v>
                </c:pt>
                <c:pt idx="94">
                  <c:v>Iran</c:v>
                </c:pt>
                <c:pt idx="95">
                  <c:v>Iraq</c:v>
                </c:pt>
                <c:pt idx="96">
                  <c:v>Ireland</c:v>
                </c:pt>
                <c:pt idx="97">
                  <c:v>Isle of Man</c:v>
                </c:pt>
                <c:pt idx="98">
                  <c:v>Israel</c:v>
                </c:pt>
                <c:pt idx="99">
                  <c:v>Italy</c:v>
                </c:pt>
                <c:pt idx="100">
                  <c:v>Ivory Coast</c:v>
                </c:pt>
                <c:pt idx="101">
                  <c:v>Jamaica</c:v>
                </c:pt>
                <c:pt idx="102">
                  <c:v>Japan</c:v>
                </c:pt>
                <c:pt idx="103">
                  <c:v>Jersey</c:v>
                </c:pt>
                <c:pt idx="104">
                  <c:v>Jordan</c:v>
                </c:pt>
                <c:pt idx="105">
                  <c:v>Kazakhstan</c:v>
                </c:pt>
                <c:pt idx="106">
                  <c:v>Kenya</c:v>
                </c:pt>
                <c:pt idx="107">
                  <c:v>Kiribati</c:v>
                </c:pt>
                <c:pt idx="108">
                  <c:v>Kuwait</c:v>
                </c:pt>
                <c:pt idx="109">
                  <c:v>Kyrgyzstan</c:v>
                </c:pt>
                <c:pt idx="110">
                  <c:v>Laos</c:v>
                </c:pt>
                <c:pt idx="111">
                  <c:v>Latvia</c:v>
                </c:pt>
                <c:pt idx="112">
                  <c:v>Lebanon</c:v>
                </c:pt>
                <c:pt idx="113">
                  <c:v>Lesotho</c:v>
                </c:pt>
                <c:pt idx="114">
                  <c:v>Liberia</c:v>
                </c:pt>
                <c:pt idx="115">
                  <c:v>Libya</c:v>
                </c:pt>
                <c:pt idx="116">
                  <c:v>Liechtenstein</c:v>
                </c:pt>
                <c:pt idx="117">
                  <c:v>Lithuania</c:v>
                </c:pt>
                <c:pt idx="118">
                  <c:v>Luxembourg</c:v>
                </c:pt>
                <c:pt idx="119">
                  <c:v>Macau</c:v>
                </c:pt>
                <c:pt idx="120">
                  <c:v>Madagascar</c:v>
                </c:pt>
                <c:pt idx="121">
                  <c:v>Malawi</c:v>
                </c:pt>
                <c:pt idx="122">
                  <c:v>Malaysia</c:v>
                </c:pt>
                <c:pt idx="123">
                  <c:v>Maldives</c:v>
                </c:pt>
                <c:pt idx="124">
                  <c:v>Mali</c:v>
                </c:pt>
                <c:pt idx="125">
                  <c:v>Malta</c:v>
                </c:pt>
                <c:pt idx="126">
                  <c:v>Marshall Islands</c:v>
                </c:pt>
                <c:pt idx="127">
                  <c:v>Martinique</c:v>
                </c:pt>
                <c:pt idx="128">
                  <c:v>Mauritania</c:v>
                </c:pt>
                <c:pt idx="129">
                  <c:v>Mauritius</c:v>
                </c:pt>
                <c:pt idx="130">
                  <c:v>Mayotte</c:v>
                </c:pt>
                <c:pt idx="131">
                  <c:v>Mexico</c:v>
                </c:pt>
                <c:pt idx="132">
                  <c:v>Micronesia</c:v>
                </c:pt>
                <c:pt idx="133">
                  <c:v>Moldova</c:v>
                </c:pt>
                <c:pt idx="134">
                  <c:v>Monaco</c:v>
                </c:pt>
                <c:pt idx="135">
                  <c:v>Mongolia</c:v>
                </c:pt>
                <c:pt idx="136">
                  <c:v>Montenegro</c:v>
                </c:pt>
                <c:pt idx="137">
                  <c:v>Montserrat</c:v>
                </c:pt>
                <c:pt idx="138">
                  <c:v>Morocco</c:v>
                </c:pt>
                <c:pt idx="139">
                  <c:v>Mozambique</c:v>
                </c:pt>
                <c:pt idx="140">
                  <c:v>Myanmar</c:v>
                </c:pt>
                <c:pt idx="141">
                  <c:v>Namibia</c:v>
                </c:pt>
                <c:pt idx="142">
                  <c:v>Nauru</c:v>
                </c:pt>
                <c:pt idx="143">
                  <c:v>Nepal</c:v>
                </c:pt>
                <c:pt idx="144">
                  <c:v>Netherlands</c:v>
                </c:pt>
                <c:pt idx="145">
                  <c:v>New Caledonia</c:v>
                </c:pt>
                <c:pt idx="146">
                  <c:v>New Zealand</c:v>
                </c:pt>
                <c:pt idx="147">
                  <c:v>Nicaragua</c:v>
                </c:pt>
                <c:pt idx="148">
                  <c:v>Niger</c:v>
                </c:pt>
                <c:pt idx="149">
                  <c:v>Nigeria</c:v>
                </c:pt>
                <c:pt idx="150">
                  <c:v>Niue</c:v>
                </c:pt>
                <c:pt idx="151">
                  <c:v>North Korea</c:v>
                </c:pt>
                <c:pt idx="152">
                  <c:v>North Macedonia</c:v>
                </c:pt>
                <c:pt idx="153">
                  <c:v>Northern Mariana Islands</c:v>
                </c:pt>
                <c:pt idx="154">
                  <c:v>Norway</c:v>
                </c:pt>
                <c:pt idx="155">
                  <c:v>Oman</c:v>
                </c:pt>
                <c:pt idx="156">
                  <c:v>Pakistan</c:v>
                </c:pt>
                <c:pt idx="157">
                  <c:v>Palau</c:v>
                </c:pt>
                <c:pt idx="158">
                  <c:v>Palestine</c:v>
                </c:pt>
                <c:pt idx="159">
                  <c:v>Panama</c:v>
                </c:pt>
                <c:pt idx="160">
                  <c:v>Papua New Guinea</c:v>
                </c:pt>
                <c:pt idx="161">
                  <c:v>Paraguay</c:v>
                </c:pt>
                <c:pt idx="162">
                  <c:v>Peru</c:v>
                </c:pt>
                <c:pt idx="163">
                  <c:v>Philippines</c:v>
                </c:pt>
                <c:pt idx="164">
                  <c:v>Poland</c:v>
                </c:pt>
                <c:pt idx="165">
                  <c:v>Portugal</c:v>
                </c:pt>
                <c:pt idx="166">
                  <c:v>Puerto Rico</c:v>
                </c:pt>
                <c:pt idx="167">
                  <c:v>Qatar</c:v>
                </c:pt>
                <c:pt idx="168">
                  <c:v>Republic of the Congo</c:v>
                </c:pt>
                <c:pt idx="169">
                  <c:v>Reunion</c:v>
                </c:pt>
                <c:pt idx="170">
                  <c:v>Romania</c:v>
                </c:pt>
                <c:pt idx="171">
                  <c:v>Russia</c:v>
                </c:pt>
                <c:pt idx="172">
                  <c:v>Rwanda</c:v>
                </c:pt>
                <c:pt idx="173">
                  <c:v>Saint Barthelemy</c:v>
                </c:pt>
                <c:pt idx="174">
                  <c:v>Saint Kitts and Nevis</c:v>
                </c:pt>
                <c:pt idx="175">
                  <c:v>Saint Lucia</c:v>
                </c:pt>
                <c:pt idx="176">
                  <c:v>Saint Martin</c:v>
                </c:pt>
                <c:pt idx="177">
                  <c:v>Saint Pierre and Miquelon</c:v>
                </c:pt>
                <c:pt idx="178">
                  <c:v>Saint Vincent and the Grenadines</c:v>
                </c:pt>
                <c:pt idx="179">
                  <c:v>Samoa</c:v>
                </c:pt>
                <c:pt idx="180">
                  <c:v>San Marino</c:v>
                </c:pt>
                <c:pt idx="181">
                  <c:v>Sao Tome and Principe</c:v>
                </c:pt>
                <c:pt idx="182">
                  <c:v>Saudi Arabia</c:v>
                </c:pt>
                <c:pt idx="183">
                  <c:v>Senegal</c:v>
                </c:pt>
                <c:pt idx="184">
                  <c:v>Serbia</c:v>
                </c:pt>
                <c:pt idx="185">
                  <c:v>Seychelles</c:v>
                </c:pt>
                <c:pt idx="186">
                  <c:v>Sierra Leone</c:v>
                </c:pt>
                <c:pt idx="187">
                  <c:v>Singapore</c:v>
                </c:pt>
                <c:pt idx="188">
                  <c:v>Sint Maarten</c:v>
                </c:pt>
                <c:pt idx="189">
                  <c:v>Slovakia</c:v>
                </c:pt>
                <c:pt idx="190">
                  <c:v>Slovenia</c:v>
                </c:pt>
                <c:pt idx="191">
                  <c:v>Solomon Islands</c:v>
                </c:pt>
                <c:pt idx="192">
                  <c:v>Somalia</c:v>
                </c:pt>
                <c:pt idx="193">
                  <c:v>South Africa</c:v>
                </c:pt>
                <c:pt idx="194">
                  <c:v>South Korea</c:v>
                </c:pt>
                <c:pt idx="195">
                  <c:v>South Sudan</c:v>
                </c:pt>
                <c:pt idx="196">
                  <c:v>Spain</c:v>
                </c:pt>
                <c:pt idx="197">
                  <c:v>Sri Lanka</c:v>
                </c:pt>
                <c:pt idx="198">
                  <c:v>Sudan</c:v>
                </c:pt>
                <c:pt idx="199">
                  <c:v>Suriname</c:v>
                </c:pt>
                <c:pt idx="200">
                  <c:v>Sweden</c:v>
                </c:pt>
                <c:pt idx="201">
                  <c:v>Switzerland</c:v>
                </c:pt>
                <c:pt idx="202">
                  <c:v>Syria</c:v>
                </c:pt>
                <c:pt idx="203">
                  <c:v>Taiwan</c:v>
                </c:pt>
                <c:pt idx="204">
                  <c:v>Tajikistan</c:v>
                </c:pt>
                <c:pt idx="205">
                  <c:v>Tanzania</c:v>
                </c:pt>
                <c:pt idx="206">
                  <c:v>Thailand</c:v>
                </c:pt>
                <c:pt idx="207">
                  <c:v>Timor-Leste</c:v>
                </c:pt>
                <c:pt idx="208">
                  <c:v>Togo</c:v>
                </c:pt>
                <c:pt idx="209">
                  <c:v>Tokelau</c:v>
                </c:pt>
                <c:pt idx="210">
                  <c:v>Tonga</c:v>
                </c:pt>
                <c:pt idx="211">
                  <c:v>Trinidad and Tobago</c:v>
                </c:pt>
                <c:pt idx="212">
                  <c:v>Tunisia</c:v>
                </c:pt>
                <c:pt idx="213">
                  <c:v>Turkey</c:v>
                </c:pt>
                <c:pt idx="214">
                  <c:v>Turkmenistan</c:v>
                </c:pt>
                <c:pt idx="215">
                  <c:v>Turks and Caicos Islands</c:v>
                </c:pt>
                <c:pt idx="216">
                  <c:v>Tuvalu</c:v>
                </c:pt>
                <c:pt idx="217">
                  <c:v>Uganda</c:v>
                </c:pt>
                <c:pt idx="218">
                  <c:v>Ukraine</c:v>
                </c:pt>
                <c:pt idx="219">
                  <c:v>United Arab Emirates</c:v>
                </c:pt>
                <c:pt idx="220">
                  <c:v>United Kingdom</c:v>
                </c:pt>
                <c:pt idx="221">
                  <c:v>United States</c:v>
                </c:pt>
                <c:pt idx="222">
                  <c:v>United States Virgin Islands</c:v>
                </c:pt>
                <c:pt idx="223">
                  <c:v>Uruguay</c:v>
                </c:pt>
                <c:pt idx="224">
                  <c:v>Uzbekistan</c:v>
                </c:pt>
                <c:pt idx="225">
                  <c:v>Vanuatu</c:v>
                </c:pt>
                <c:pt idx="226">
                  <c:v>Vatican City</c:v>
                </c:pt>
                <c:pt idx="227">
                  <c:v>Venezuela</c:v>
                </c:pt>
                <c:pt idx="228">
                  <c:v>Vietnam</c:v>
                </c:pt>
                <c:pt idx="229">
                  <c:v>Wallis and Futuna</c:v>
                </c:pt>
                <c:pt idx="230">
                  <c:v>Western Sahara</c:v>
                </c:pt>
                <c:pt idx="231">
                  <c:v>Yemen</c:v>
                </c:pt>
                <c:pt idx="232">
                  <c:v>Zambia</c:v>
                </c:pt>
                <c:pt idx="233">
                  <c:v>Zimbabwe</c:v>
                </c:pt>
              </c:strCache>
            </c:strRef>
          </c:cat>
          <c:val>
            <c:numRef>
              <c:f>population_data!$AB$19:$AB$253</c:f>
              <c:numCache>
                <c:formatCode>General</c:formatCode>
                <c:ptCount val="234"/>
                <c:pt idx="0">
                  <c:v>33753.499000000003</c:v>
                </c:pt>
                <c:pt idx="1">
                  <c:v>2882.4810000000002</c:v>
                </c:pt>
                <c:pt idx="2">
                  <c:v>39543.154000000002</c:v>
                </c:pt>
                <c:pt idx="3">
                  <c:v>51.368000000000002</c:v>
                </c:pt>
                <c:pt idx="4">
                  <c:v>71.745999999999995</c:v>
                </c:pt>
                <c:pt idx="5">
                  <c:v>28127.721000000001</c:v>
                </c:pt>
                <c:pt idx="6">
                  <c:v>14.525</c:v>
                </c:pt>
                <c:pt idx="7">
                  <c:v>89.941000000000003</c:v>
                </c:pt>
                <c:pt idx="8">
                  <c:v>43257.065000000002</c:v>
                </c:pt>
                <c:pt idx="9">
                  <c:v>2878.5949999999998</c:v>
                </c:pt>
                <c:pt idx="10">
                  <c:v>104.25700000000001</c:v>
                </c:pt>
                <c:pt idx="11">
                  <c:v>23820.236000000001</c:v>
                </c:pt>
                <c:pt idx="12">
                  <c:v>8642.4210000000003</c:v>
                </c:pt>
                <c:pt idx="13">
                  <c:v>9863.48</c:v>
                </c:pt>
                <c:pt idx="14">
                  <c:v>392.697</c:v>
                </c:pt>
                <c:pt idx="15">
                  <c:v>1362.1420000000001</c:v>
                </c:pt>
                <c:pt idx="16">
                  <c:v>157830</c:v>
                </c:pt>
                <c:pt idx="17">
                  <c:v>278.08300000000003</c:v>
                </c:pt>
                <c:pt idx="18">
                  <c:v>9700.6090000000004</c:v>
                </c:pt>
                <c:pt idx="19">
                  <c:v>11248.303</c:v>
                </c:pt>
                <c:pt idx="20">
                  <c:v>359.87099999999998</c:v>
                </c:pt>
                <c:pt idx="21">
                  <c:v>10932.782999999999</c:v>
                </c:pt>
                <c:pt idx="22">
                  <c:v>63.143999999999998</c:v>
                </c:pt>
                <c:pt idx="23">
                  <c:v>743.274</c:v>
                </c:pt>
                <c:pt idx="24">
                  <c:v>11090.084999999999</c:v>
                </c:pt>
                <c:pt idx="25">
                  <c:v>3524.3240000000001</c:v>
                </c:pt>
                <c:pt idx="26">
                  <c:v>2305.1709999999998</c:v>
                </c:pt>
                <c:pt idx="27">
                  <c:v>205188.20499999999</c:v>
                </c:pt>
                <c:pt idx="28">
                  <c:v>29.366</c:v>
                </c:pt>
                <c:pt idx="29">
                  <c:v>421.43700000000001</c:v>
                </c:pt>
                <c:pt idx="30">
                  <c:v>7309.2529999999997</c:v>
                </c:pt>
                <c:pt idx="31">
                  <c:v>18718.019</c:v>
                </c:pt>
                <c:pt idx="32">
                  <c:v>10727.147999999999</c:v>
                </c:pt>
                <c:pt idx="33">
                  <c:v>15417.522999999999</c:v>
                </c:pt>
                <c:pt idx="34">
                  <c:v>23012.646000000001</c:v>
                </c:pt>
                <c:pt idx="35">
                  <c:v>35732.125999999997</c:v>
                </c:pt>
                <c:pt idx="36">
                  <c:v>552.16600000000005</c:v>
                </c:pt>
                <c:pt idx="37">
                  <c:v>60.911000000000001</c:v>
                </c:pt>
                <c:pt idx="38">
                  <c:v>4819.3329999999996</c:v>
                </c:pt>
                <c:pt idx="39">
                  <c:v>14140.273999999999</c:v>
                </c:pt>
                <c:pt idx="40">
                  <c:v>17870.124</c:v>
                </c:pt>
                <c:pt idx="41">
                  <c:v>1393715.4480000001</c:v>
                </c:pt>
                <c:pt idx="42">
                  <c:v>47119.728000000003</c:v>
                </c:pt>
                <c:pt idx="43">
                  <c:v>730.21600000000001</c:v>
                </c:pt>
                <c:pt idx="44">
                  <c:v>17.695</c:v>
                </c:pt>
                <c:pt idx="45">
                  <c:v>4895.2420000000002</c:v>
                </c:pt>
                <c:pt idx="46">
                  <c:v>4254.8149999999996</c:v>
                </c:pt>
                <c:pt idx="47">
                  <c:v>11339.894</c:v>
                </c:pt>
                <c:pt idx="48">
                  <c:v>169.572</c:v>
                </c:pt>
                <c:pt idx="49">
                  <c:v>1187.28</c:v>
                </c:pt>
                <c:pt idx="50">
                  <c:v>10523.798000000001</c:v>
                </c:pt>
                <c:pt idx="51">
                  <c:v>5677.7960000000003</c:v>
                </c:pt>
                <c:pt idx="52">
                  <c:v>1006.259</c:v>
                </c:pt>
                <c:pt idx="53">
                  <c:v>70.007000000000005</c:v>
                </c:pt>
                <c:pt idx="54">
                  <c:v>10405.832</c:v>
                </c:pt>
                <c:pt idx="55">
                  <c:v>78656.903999999995</c:v>
                </c:pt>
                <c:pt idx="56">
                  <c:v>16195.902</c:v>
                </c:pt>
                <c:pt idx="57">
                  <c:v>97723.798999999999</c:v>
                </c:pt>
                <c:pt idx="58">
                  <c:v>6231.0659999999998</c:v>
                </c:pt>
                <c:pt idx="59">
                  <c:v>1346.973</c:v>
                </c:pt>
                <c:pt idx="60">
                  <c:v>3340.0059999999999</c:v>
                </c:pt>
                <c:pt idx="61">
                  <c:v>1314.6569999999999</c:v>
                </c:pt>
                <c:pt idx="62">
                  <c:v>1133.9359999999999</c:v>
                </c:pt>
                <c:pt idx="63">
                  <c:v>102471.895</c:v>
                </c:pt>
                <c:pt idx="64">
                  <c:v>3.4079999999999999</c:v>
                </c:pt>
                <c:pt idx="65">
                  <c:v>48.816000000000003</c:v>
                </c:pt>
                <c:pt idx="66">
                  <c:v>917.2</c:v>
                </c:pt>
                <c:pt idx="67">
                  <c:v>5479.4610000000002</c:v>
                </c:pt>
                <c:pt idx="68">
                  <c:v>63809.769</c:v>
                </c:pt>
                <c:pt idx="69">
                  <c:v>257.02600000000001</c:v>
                </c:pt>
                <c:pt idx="70">
                  <c:v>291.78699999999998</c:v>
                </c:pt>
                <c:pt idx="71">
                  <c:v>2028.5170000000001</c:v>
                </c:pt>
                <c:pt idx="72">
                  <c:v>2253.1329999999998</c:v>
                </c:pt>
                <c:pt idx="73">
                  <c:v>3771.1320000000001</c:v>
                </c:pt>
                <c:pt idx="74">
                  <c:v>82073.225999999995</c:v>
                </c:pt>
                <c:pt idx="75">
                  <c:v>28870.938999999998</c:v>
                </c:pt>
                <c:pt idx="76">
                  <c:v>32.520000000000003</c:v>
                </c:pt>
                <c:pt idx="77">
                  <c:v>10806.641</c:v>
                </c:pt>
                <c:pt idx="78">
                  <c:v>55.895000000000003</c:v>
                </c:pt>
                <c:pt idx="79">
                  <c:v>118.98</c:v>
                </c:pt>
                <c:pt idx="80">
                  <c:v>399.089</c:v>
                </c:pt>
                <c:pt idx="81">
                  <c:v>167.97800000000001</c:v>
                </c:pt>
                <c:pt idx="82">
                  <c:v>16001.107</c:v>
                </c:pt>
                <c:pt idx="83">
                  <c:v>61.628999999999998</c:v>
                </c:pt>
                <c:pt idx="84">
                  <c:v>11625.998</c:v>
                </c:pt>
                <c:pt idx="85">
                  <c:v>1788.9190000000001</c:v>
                </c:pt>
                <c:pt idx="86">
                  <c:v>755.03099999999995</c:v>
                </c:pt>
                <c:pt idx="87">
                  <c:v>10563.757</c:v>
                </c:pt>
                <c:pt idx="88">
                  <c:v>9294.5049999999992</c:v>
                </c:pt>
                <c:pt idx="89">
                  <c:v>7399.8379999999997</c:v>
                </c:pt>
                <c:pt idx="90">
                  <c:v>9844.2459999999992</c:v>
                </c:pt>
                <c:pt idx="91">
                  <c:v>331.06</c:v>
                </c:pt>
                <c:pt idx="92">
                  <c:v>1322866.5049999999</c:v>
                </c:pt>
                <c:pt idx="93">
                  <c:v>259091.97</c:v>
                </c:pt>
                <c:pt idx="94">
                  <c:v>81790.841</c:v>
                </c:pt>
                <c:pt idx="95">
                  <c:v>37757.813000000002</c:v>
                </c:pt>
                <c:pt idx="96">
                  <c:v>4665.76</c:v>
                </c:pt>
                <c:pt idx="97">
                  <c:v>83.593000000000004</c:v>
                </c:pt>
                <c:pt idx="98">
                  <c:v>8007.7780000000002</c:v>
                </c:pt>
                <c:pt idx="99">
                  <c:v>60232.906000000003</c:v>
                </c:pt>
                <c:pt idx="100">
                  <c:v>23596.741000000002</c:v>
                </c:pt>
                <c:pt idx="101">
                  <c:v>2794.4450000000002</c:v>
                </c:pt>
                <c:pt idx="102">
                  <c:v>127250.933</c:v>
                </c:pt>
                <c:pt idx="103">
                  <c:v>100.56100000000001</c:v>
                </c:pt>
                <c:pt idx="104">
                  <c:v>9494.2459999999992</c:v>
                </c:pt>
                <c:pt idx="105">
                  <c:v>17835.909</c:v>
                </c:pt>
                <c:pt idx="106">
                  <c:v>46851.487999999998</c:v>
                </c:pt>
                <c:pt idx="107">
                  <c:v>116.70699999999999</c:v>
                </c:pt>
                <c:pt idx="108">
                  <c:v>3908.7429999999999</c:v>
                </c:pt>
                <c:pt idx="109">
                  <c:v>5914.98</c:v>
                </c:pt>
                <c:pt idx="110">
                  <c:v>6787.4189999999999</c:v>
                </c:pt>
                <c:pt idx="111">
                  <c:v>1991.9549999999999</c:v>
                </c:pt>
                <c:pt idx="112">
                  <c:v>6398.94</c:v>
                </c:pt>
                <c:pt idx="113">
                  <c:v>2118.5210000000002</c:v>
                </c:pt>
                <c:pt idx="114">
                  <c:v>4612.3289999999997</c:v>
                </c:pt>
                <c:pt idx="115">
                  <c:v>6192.2349999999997</c:v>
                </c:pt>
                <c:pt idx="116">
                  <c:v>37.354999999999997</c:v>
                </c:pt>
                <c:pt idx="117">
                  <c:v>2963.7649999999999</c:v>
                </c:pt>
                <c:pt idx="118">
                  <c:v>569.40800000000002</c:v>
                </c:pt>
                <c:pt idx="119">
                  <c:v>615.23900000000003</c:v>
                </c:pt>
                <c:pt idx="120">
                  <c:v>24850.912</c:v>
                </c:pt>
                <c:pt idx="121">
                  <c:v>16938.941999999999</c:v>
                </c:pt>
                <c:pt idx="122">
                  <c:v>31068.832999999999</c:v>
                </c:pt>
                <c:pt idx="123">
                  <c:v>435.58199999999999</c:v>
                </c:pt>
                <c:pt idx="124">
                  <c:v>18112.906999999999</c:v>
                </c:pt>
                <c:pt idx="125">
                  <c:v>456.57900000000001</c:v>
                </c:pt>
                <c:pt idx="126">
                  <c:v>49.41</c:v>
                </c:pt>
                <c:pt idx="127">
                  <c:v>383.51499999999999</c:v>
                </c:pt>
                <c:pt idx="128">
                  <c:v>3946.22</c:v>
                </c:pt>
                <c:pt idx="129">
                  <c:v>1293.153</c:v>
                </c:pt>
                <c:pt idx="130">
                  <c:v>249.54499999999999</c:v>
                </c:pt>
                <c:pt idx="131">
                  <c:v>120149.897</c:v>
                </c:pt>
                <c:pt idx="132">
                  <c:v>109.462</c:v>
                </c:pt>
                <c:pt idx="133">
                  <c:v>3277.3879999999999</c:v>
                </c:pt>
                <c:pt idx="134">
                  <c:v>36.76</c:v>
                </c:pt>
                <c:pt idx="135">
                  <c:v>2964.7489999999998</c:v>
                </c:pt>
                <c:pt idx="136">
                  <c:v>633.96600000000001</c:v>
                </c:pt>
                <c:pt idx="137">
                  <c:v>5.0590000000000002</c:v>
                </c:pt>
                <c:pt idx="138">
                  <c:v>34680.457999999999</c:v>
                </c:pt>
                <c:pt idx="139">
                  <c:v>26843.245999999999</c:v>
                </c:pt>
                <c:pt idx="140">
                  <c:v>51483.949000000001</c:v>
                </c:pt>
                <c:pt idx="141">
                  <c:v>2282.7040000000002</c:v>
                </c:pt>
                <c:pt idx="142">
                  <c:v>11.185</c:v>
                </c:pt>
                <c:pt idx="143">
                  <c:v>27610.325000000001</c:v>
                </c:pt>
                <c:pt idx="144">
                  <c:v>17041.107</c:v>
                </c:pt>
                <c:pt idx="145">
                  <c:v>283.03199999999998</c:v>
                </c:pt>
                <c:pt idx="146">
                  <c:v>4590.59</c:v>
                </c:pt>
                <c:pt idx="147">
                  <c:v>6298.598</c:v>
                </c:pt>
                <c:pt idx="148">
                  <c:v>20128.124</c:v>
                </c:pt>
                <c:pt idx="149">
                  <c:v>183995.785</c:v>
                </c:pt>
                <c:pt idx="150">
                  <c:v>1.847</c:v>
                </c:pt>
                <c:pt idx="151">
                  <c:v>25258.014999999999</c:v>
                </c:pt>
                <c:pt idx="152">
                  <c:v>2107.962</c:v>
                </c:pt>
                <c:pt idx="153">
                  <c:v>51.514000000000003</c:v>
                </c:pt>
                <c:pt idx="154">
                  <c:v>5190.3559999999998</c:v>
                </c:pt>
                <c:pt idx="155">
                  <c:v>4191.7759999999998</c:v>
                </c:pt>
                <c:pt idx="156">
                  <c:v>210969.29800000001</c:v>
                </c:pt>
                <c:pt idx="157">
                  <c:v>17.794</c:v>
                </c:pt>
                <c:pt idx="158">
                  <c:v>4484.6139999999996</c:v>
                </c:pt>
                <c:pt idx="159">
                  <c:v>3957.0990000000002</c:v>
                </c:pt>
                <c:pt idx="160">
                  <c:v>8682.1740000000009</c:v>
                </c:pt>
                <c:pt idx="161">
                  <c:v>6177.95</c:v>
                </c:pt>
                <c:pt idx="162">
                  <c:v>30711.863000000001</c:v>
                </c:pt>
                <c:pt idx="163">
                  <c:v>103031.36500000001</c:v>
                </c:pt>
                <c:pt idx="164">
                  <c:v>38553.146000000001</c:v>
                </c:pt>
                <c:pt idx="165">
                  <c:v>10365.434999999999</c:v>
                </c:pt>
                <c:pt idx="166">
                  <c:v>3497.335</c:v>
                </c:pt>
                <c:pt idx="167">
                  <c:v>2414.5729999999999</c:v>
                </c:pt>
                <c:pt idx="168">
                  <c:v>5064.3860000000004</c:v>
                </c:pt>
                <c:pt idx="169">
                  <c:v>922.495</c:v>
                </c:pt>
                <c:pt idx="170">
                  <c:v>19906.079000000002</c:v>
                </c:pt>
                <c:pt idx="171">
                  <c:v>144668.389</c:v>
                </c:pt>
                <c:pt idx="172">
                  <c:v>11642.959000000001</c:v>
                </c:pt>
                <c:pt idx="173">
                  <c:v>9.6430000000000007</c:v>
                </c:pt>
                <c:pt idx="174">
                  <c:v>47.79</c:v>
                </c:pt>
                <c:pt idx="175">
                  <c:v>175.62299999999999</c:v>
                </c:pt>
                <c:pt idx="176">
                  <c:v>35.020000000000003</c:v>
                </c:pt>
                <c:pt idx="177">
                  <c:v>5.9779999999999998</c:v>
                </c:pt>
                <c:pt idx="178">
                  <c:v>106.482</c:v>
                </c:pt>
                <c:pt idx="179">
                  <c:v>203.571</c:v>
                </c:pt>
                <c:pt idx="180">
                  <c:v>33.57</c:v>
                </c:pt>
                <c:pt idx="181">
                  <c:v>201.124</c:v>
                </c:pt>
                <c:pt idx="182">
                  <c:v>32749.848000000002</c:v>
                </c:pt>
                <c:pt idx="183">
                  <c:v>14356.181</c:v>
                </c:pt>
                <c:pt idx="184">
                  <c:v>7519.4960000000001</c:v>
                </c:pt>
                <c:pt idx="185">
                  <c:v>99.24</c:v>
                </c:pt>
                <c:pt idx="186">
                  <c:v>7314.7730000000001</c:v>
                </c:pt>
                <c:pt idx="187">
                  <c:v>5650.018</c:v>
                </c:pt>
                <c:pt idx="188">
                  <c:v>40.204999999999998</c:v>
                </c:pt>
                <c:pt idx="189">
                  <c:v>5424.4440000000004</c:v>
                </c:pt>
                <c:pt idx="190">
                  <c:v>2080.8620000000001</c:v>
                </c:pt>
                <c:pt idx="191">
                  <c:v>612.66</c:v>
                </c:pt>
                <c:pt idx="192">
                  <c:v>13763.906000000001</c:v>
                </c:pt>
                <c:pt idx="193">
                  <c:v>55876.504000000001</c:v>
                </c:pt>
                <c:pt idx="194">
                  <c:v>50994.400999999998</c:v>
                </c:pt>
                <c:pt idx="195">
                  <c:v>11194.299000000001</c:v>
                </c:pt>
                <c:pt idx="196">
                  <c:v>46431.341999999997</c:v>
                </c:pt>
                <c:pt idx="197">
                  <c:v>21336.697</c:v>
                </c:pt>
                <c:pt idx="198">
                  <c:v>38171.178</c:v>
                </c:pt>
                <c:pt idx="199">
                  <c:v>575.47500000000002</c:v>
                </c:pt>
                <c:pt idx="200">
                  <c:v>9849.3490000000002</c:v>
                </c:pt>
                <c:pt idx="201">
                  <c:v>8281.732</c:v>
                </c:pt>
                <c:pt idx="202">
                  <c:v>19205.178</c:v>
                </c:pt>
                <c:pt idx="203">
                  <c:v>23512.135999999999</c:v>
                </c:pt>
                <c:pt idx="204">
                  <c:v>8524.0630000000001</c:v>
                </c:pt>
                <c:pt idx="205">
                  <c:v>52542.822999999997</c:v>
                </c:pt>
                <c:pt idx="206">
                  <c:v>70294.396999999997</c:v>
                </c:pt>
                <c:pt idx="207">
                  <c:v>1205.8130000000001</c:v>
                </c:pt>
                <c:pt idx="208">
                  <c:v>7473.2290000000003</c:v>
                </c:pt>
                <c:pt idx="209">
                  <c:v>1.454</c:v>
                </c:pt>
                <c:pt idx="210">
                  <c:v>106.122</c:v>
                </c:pt>
                <c:pt idx="211">
                  <c:v>1460.1769999999999</c:v>
                </c:pt>
                <c:pt idx="212">
                  <c:v>11557.779</c:v>
                </c:pt>
                <c:pt idx="213">
                  <c:v>79646.178</c:v>
                </c:pt>
                <c:pt idx="214">
                  <c:v>5766.4309999999996</c:v>
                </c:pt>
                <c:pt idx="215">
                  <c:v>36.537999999999997</c:v>
                </c:pt>
                <c:pt idx="216">
                  <c:v>10.877000000000001</c:v>
                </c:pt>
                <c:pt idx="217">
                  <c:v>37477.356</c:v>
                </c:pt>
                <c:pt idx="218">
                  <c:v>44982.563999999998</c:v>
                </c:pt>
                <c:pt idx="219">
                  <c:v>8916.8989999999994</c:v>
                </c:pt>
                <c:pt idx="220">
                  <c:v>65224.364000000001</c:v>
                </c:pt>
                <c:pt idx="221">
                  <c:v>324607.77600000001</c:v>
                </c:pt>
                <c:pt idx="222">
                  <c:v>102.803</c:v>
                </c:pt>
                <c:pt idx="223">
                  <c:v>3402.8180000000002</c:v>
                </c:pt>
                <c:pt idx="224">
                  <c:v>30949.417000000001</c:v>
                </c:pt>
                <c:pt idx="225">
                  <c:v>276.43799999999999</c:v>
                </c:pt>
                <c:pt idx="226">
                  <c:v>0.56399999999999995</c:v>
                </c:pt>
                <c:pt idx="227">
                  <c:v>30529.716</c:v>
                </c:pt>
                <c:pt idx="228">
                  <c:v>92191.398000000001</c:v>
                </c:pt>
                <c:pt idx="229">
                  <c:v>12.182</c:v>
                </c:pt>
                <c:pt idx="230">
                  <c:v>491.82400000000001</c:v>
                </c:pt>
                <c:pt idx="231">
                  <c:v>28516.544999999998</c:v>
                </c:pt>
                <c:pt idx="232">
                  <c:v>16248.23</c:v>
                </c:pt>
                <c:pt idx="233">
                  <c:v>14154.937</c:v>
                </c:pt>
              </c:numCache>
            </c:numRef>
          </c:val>
        </c:ser>
        <c:ser>
          <c:idx val="5"/>
          <c:order val="5"/>
          <c:tx>
            <c:strRef>
              <c:f>population_data!$AC$18</c:f>
              <c:strCache>
                <c:ptCount val="1"/>
                <c:pt idx="0">
                  <c:v>Sum of pop2010</c:v>
                </c:pt>
              </c:strCache>
            </c:strRef>
          </c:tx>
          <c:invertIfNegative val="0"/>
          <c:cat>
            <c:strRef>
              <c:f>population_data!$W$19:$W$253</c:f>
              <c:strCache>
                <c:ptCount val="234"/>
                <c:pt idx="0">
                  <c:v>Afghanistan</c:v>
                </c:pt>
                <c:pt idx="1">
                  <c:v>Albania</c:v>
                </c:pt>
                <c:pt idx="2">
                  <c:v>Algeria</c:v>
                </c:pt>
                <c:pt idx="3">
                  <c:v>American Samoa</c:v>
                </c:pt>
                <c:pt idx="4">
                  <c:v>Andorra</c:v>
                </c:pt>
                <c:pt idx="5">
                  <c:v>Angola</c:v>
                </c:pt>
                <c:pt idx="6">
                  <c:v>Anguilla</c:v>
                </c:pt>
                <c:pt idx="7">
                  <c:v>Antigua and Barbuda</c:v>
                </c:pt>
                <c:pt idx="8">
                  <c:v>Argentina</c:v>
                </c:pt>
                <c:pt idx="9">
                  <c:v>Armenia</c:v>
                </c:pt>
                <c:pt idx="10">
                  <c:v>Aruba</c:v>
                </c:pt>
                <c:pt idx="11">
                  <c:v>Australia</c:v>
                </c:pt>
                <c:pt idx="12">
                  <c:v>Austria</c:v>
                </c:pt>
                <c:pt idx="13">
                  <c:v>Azerbaijan</c:v>
                </c:pt>
                <c:pt idx="14">
                  <c:v>Bahamas</c:v>
                </c:pt>
                <c:pt idx="15">
                  <c:v>Bahrain</c:v>
                </c:pt>
                <c:pt idx="16">
                  <c:v>Bangladesh</c:v>
                </c:pt>
                <c:pt idx="17">
                  <c:v>Barbados</c:v>
                </c:pt>
                <c:pt idx="18">
                  <c:v>Belarus</c:v>
                </c:pt>
                <c:pt idx="19">
                  <c:v>Belgium</c:v>
                </c:pt>
                <c:pt idx="20">
                  <c:v>Belize</c:v>
                </c:pt>
                <c:pt idx="21">
                  <c:v>Benin</c:v>
                </c:pt>
                <c:pt idx="22">
                  <c:v>Bermuda</c:v>
                </c:pt>
                <c:pt idx="23">
                  <c:v>Bhutan</c:v>
                </c:pt>
                <c:pt idx="24">
                  <c:v>Bolivia</c:v>
                </c:pt>
                <c:pt idx="25">
                  <c:v>Bosnia and Herzegovina</c:v>
                </c:pt>
                <c:pt idx="26">
                  <c:v>Botswana</c:v>
                </c:pt>
                <c:pt idx="27">
                  <c:v>Brazil</c:v>
                </c:pt>
                <c:pt idx="28">
                  <c:v>British Virgin Islands</c:v>
                </c:pt>
                <c:pt idx="29">
                  <c:v>Brunei</c:v>
                </c:pt>
                <c:pt idx="30">
                  <c:v>Bulgaria</c:v>
                </c:pt>
                <c:pt idx="31">
                  <c:v>Burkina Faso</c:v>
                </c:pt>
                <c:pt idx="32">
                  <c:v>Burundi</c:v>
                </c:pt>
                <c:pt idx="33">
                  <c:v>Cambodia</c:v>
                </c:pt>
                <c:pt idx="34">
                  <c:v>Cameroon</c:v>
                </c:pt>
                <c:pt idx="35">
                  <c:v>Canada</c:v>
                </c:pt>
                <c:pt idx="36">
                  <c:v>Cape Verde</c:v>
                </c:pt>
                <c:pt idx="37">
                  <c:v>Cayman Islands</c:v>
                </c:pt>
                <c:pt idx="38">
                  <c:v>Central African Republic</c:v>
                </c:pt>
                <c:pt idx="39">
                  <c:v>Chad</c:v>
                </c:pt>
                <c:pt idx="40">
                  <c:v>Chile</c:v>
                </c:pt>
                <c:pt idx="41">
                  <c:v>China</c:v>
                </c:pt>
                <c:pt idx="42">
                  <c:v>Colombia</c:v>
                </c:pt>
                <c:pt idx="43">
                  <c:v>Comoros</c:v>
                </c:pt>
                <c:pt idx="44">
                  <c:v>Cook Islands</c:v>
                </c:pt>
                <c:pt idx="45">
                  <c:v>Costa Rica</c:v>
                </c:pt>
                <c:pt idx="46">
                  <c:v>Croatia</c:v>
                </c:pt>
                <c:pt idx="47">
                  <c:v>Cuba</c:v>
                </c:pt>
                <c:pt idx="48">
                  <c:v>Curacao</c:v>
                </c:pt>
                <c:pt idx="49">
                  <c:v>Cyprus</c:v>
                </c:pt>
                <c:pt idx="50">
                  <c:v>Czech Republic</c:v>
                </c:pt>
                <c:pt idx="51">
                  <c:v>Denmark</c:v>
                </c:pt>
                <c:pt idx="52">
                  <c:v>Djibouti</c:v>
                </c:pt>
                <c:pt idx="53">
                  <c:v>Dominica</c:v>
                </c:pt>
                <c:pt idx="54">
                  <c:v>Dominican Republic</c:v>
                </c:pt>
                <c:pt idx="55">
                  <c:v>DR Congo</c:v>
                </c:pt>
                <c:pt idx="56">
                  <c:v>Ecuador</c:v>
                </c:pt>
                <c:pt idx="57">
                  <c:v>Egypt</c:v>
                </c:pt>
                <c:pt idx="58">
                  <c:v>El Salvador</c:v>
                </c:pt>
                <c:pt idx="59">
                  <c:v>Equatorial Guinea</c:v>
                </c:pt>
                <c:pt idx="60">
                  <c:v>Eritrea</c:v>
                </c:pt>
                <c:pt idx="61">
                  <c:v>Estonia</c:v>
                </c:pt>
                <c:pt idx="62">
                  <c:v>Eswatini</c:v>
                </c:pt>
                <c:pt idx="63">
                  <c:v>Ethiopia</c:v>
                </c:pt>
                <c:pt idx="64">
                  <c:v>Falkland Islands</c:v>
                </c:pt>
                <c:pt idx="65">
                  <c:v>Faroe Islands</c:v>
                </c:pt>
                <c:pt idx="66">
                  <c:v>Fiji</c:v>
                </c:pt>
                <c:pt idx="67">
                  <c:v>Finland</c:v>
                </c:pt>
                <c:pt idx="68">
                  <c:v>France</c:v>
                </c:pt>
                <c:pt idx="69">
                  <c:v>French Guiana</c:v>
                </c:pt>
                <c:pt idx="70">
                  <c:v>French Polynesia</c:v>
                </c:pt>
                <c:pt idx="71">
                  <c:v>Gabon</c:v>
                </c:pt>
                <c:pt idx="72">
                  <c:v>Gambia</c:v>
                </c:pt>
                <c:pt idx="73">
                  <c:v>Georgia</c:v>
                </c:pt>
                <c:pt idx="74">
                  <c:v>Germany</c:v>
                </c:pt>
                <c:pt idx="75">
                  <c:v>Ghana</c:v>
                </c:pt>
                <c:pt idx="76">
                  <c:v>Gibraltar</c:v>
                </c:pt>
                <c:pt idx="77">
                  <c:v>Greece</c:v>
                </c:pt>
                <c:pt idx="78">
                  <c:v>Greenland</c:v>
                </c:pt>
                <c:pt idx="79">
                  <c:v>Grenada</c:v>
                </c:pt>
                <c:pt idx="80">
                  <c:v>Guadeloupe</c:v>
                </c:pt>
                <c:pt idx="81">
                  <c:v>Guam</c:v>
                </c:pt>
                <c:pt idx="82">
                  <c:v>Guatemala</c:v>
                </c:pt>
                <c:pt idx="83">
                  <c:v>Guernsey</c:v>
                </c:pt>
                <c:pt idx="84">
                  <c:v>Guinea</c:v>
                </c:pt>
                <c:pt idx="85">
                  <c:v>Guinea-Bissau</c:v>
                </c:pt>
                <c:pt idx="86">
                  <c:v>Guyana</c:v>
                </c:pt>
                <c:pt idx="87">
                  <c:v>Haiti</c:v>
                </c:pt>
                <c:pt idx="88">
                  <c:v>Honduras</c:v>
                </c:pt>
                <c:pt idx="89">
                  <c:v>Hong Kong</c:v>
                </c:pt>
                <c:pt idx="90">
                  <c:v>Hungary</c:v>
                </c:pt>
                <c:pt idx="91">
                  <c:v>Iceland</c:v>
                </c:pt>
                <c:pt idx="92">
                  <c:v>India</c:v>
                </c:pt>
                <c:pt idx="93">
                  <c:v>Indonesia</c:v>
                </c:pt>
                <c:pt idx="94">
                  <c:v>Iran</c:v>
                </c:pt>
                <c:pt idx="95">
                  <c:v>Iraq</c:v>
                </c:pt>
                <c:pt idx="96">
                  <c:v>Ireland</c:v>
                </c:pt>
                <c:pt idx="97">
                  <c:v>Isle of Man</c:v>
                </c:pt>
                <c:pt idx="98">
                  <c:v>Israel</c:v>
                </c:pt>
                <c:pt idx="99">
                  <c:v>Italy</c:v>
                </c:pt>
                <c:pt idx="100">
                  <c:v>Ivory Coast</c:v>
                </c:pt>
                <c:pt idx="101">
                  <c:v>Jamaica</c:v>
                </c:pt>
                <c:pt idx="102">
                  <c:v>Japan</c:v>
                </c:pt>
                <c:pt idx="103">
                  <c:v>Jersey</c:v>
                </c:pt>
                <c:pt idx="104">
                  <c:v>Jordan</c:v>
                </c:pt>
                <c:pt idx="105">
                  <c:v>Kazakhstan</c:v>
                </c:pt>
                <c:pt idx="106">
                  <c:v>Kenya</c:v>
                </c:pt>
                <c:pt idx="107">
                  <c:v>Kiribati</c:v>
                </c:pt>
                <c:pt idx="108">
                  <c:v>Kuwait</c:v>
                </c:pt>
                <c:pt idx="109">
                  <c:v>Kyrgyzstan</c:v>
                </c:pt>
                <c:pt idx="110">
                  <c:v>Laos</c:v>
                </c:pt>
                <c:pt idx="111">
                  <c:v>Latvia</c:v>
                </c:pt>
                <c:pt idx="112">
                  <c:v>Lebanon</c:v>
                </c:pt>
                <c:pt idx="113">
                  <c:v>Lesotho</c:v>
                </c:pt>
                <c:pt idx="114">
                  <c:v>Liberia</c:v>
                </c:pt>
                <c:pt idx="115">
                  <c:v>Libya</c:v>
                </c:pt>
                <c:pt idx="116">
                  <c:v>Liechtenstein</c:v>
                </c:pt>
                <c:pt idx="117">
                  <c:v>Lithuania</c:v>
                </c:pt>
                <c:pt idx="118">
                  <c:v>Luxembourg</c:v>
                </c:pt>
                <c:pt idx="119">
                  <c:v>Macau</c:v>
                </c:pt>
                <c:pt idx="120">
                  <c:v>Madagascar</c:v>
                </c:pt>
                <c:pt idx="121">
                  <c:v>Malawi</c:v>
                </c:pt>
                <c:pt idx="122">
                  <c:v>Malaysia</c:v>
                </c:pt>
                <c:pt idx="123">
                  <c:v>Maldives</c:v>
                </c:pt>
                <c:pt idx="124">
                  <c:v>Mali</c:v>
                </c:pt>
                <c:pt idx="125">
                  <c:v>Malta</c:v>
                </c:pt>
                <c:pt idx="126">
                  <c:v>Marshall Islands</c:v>
                </c:pt>
                <c:pt idx="127">
                  <c:v>Martinique</c:v>
                </c:pt>
                <c:pt idx="128">
                  <c:v>Mauritania</c:v>
                </c:pt>
                <c:pt idx="129">
                  <c:v>Mauritius</c:v>
                </c:pt>
                <c:pt idx="130">
                  <c:v>Mayotte</c:v>
                </c:pt>
                <c:pt idx="131">
                  <c:v>Mexico</c:v>
                </c:pt>
                <c:pt idx="132">
                  <c:v>Micronesia</c:v>
                </c:pt>
                <c:pt idx="133">
                  <c:v>Moldova</c:v>
                </c:pt>
                <c:pt idx="134">
                  <c:v>Monaco</c:v>
                </c:pt>
                <c:pt idx="135">
                  <c:v>Mongolia</c:v>
                </c:pt>
                <c:pt idx="136">
                  <c:v>Montenegro</c:v>
                </c:pt>
                <c:pt idx="137">
                  <c:v>Montserrat</c:v>
                </c:pt>
                <c:pt idx="138">
                  <c:v>Morocco</c:v>
                </c:pt>
                <c:pt idx="139">
                  <c:v>Mozambique</c:v>
                </c:pt>
                <c:pt idx="140">
                  <c:v>Myanmar</c:v>
                </c:pt>
                <c:pt idx="141">
                  <c:v>Namibia</c:v>
                </c:pt>
                <c:pt idx="142">
                  <c:v>Nauru</c:v>
                </c:pt>
                <c:pt idx="143">
                  <c:v>Nepal</c:v>
                </c:pt>
                <c:pt idx="144">
                  <c:v>Netherlands</c:v>
                </c:pt>
                <c:pt idx="145">
                  <c:v>New Caledonia</c:v>
                </c:pt>
                <c:pt idx="146">
                  <c:v>New Zealand</c:v>
                </c:pt>
                <c:pt idx="147">
                  <c:v>Nicaragua</c:v>
                </c:pt>
                <c:pt idx="148">
                  <c:v>Niger</c:v>
                </c:pt>
                <c:pt idx="149">
                  <c:v>Nigeria</c:v>
                </c:pt>
                <c:pt idx="150">
                  <c:v>Niue</c:v>
                </c:pt>
                <c:pt idx="151">
                  <c:v>North Korea</c:v>
                </c:pt>
                <c:pt idx="152">
                  <c:v>North Macedonia</c:v>
                </c:pt>
                <c:pt idx="153">
                  <c:v>Northern Mariana Islands</c:v>
                </c:pt>
                <c:pt idx="154">
                  <c:v>Norway</c:v>
                </c:pt>
                <c:pt idx="155">
                  <c:v>Oman</c:v>
                </c:pt>
                <c:pt idx="156">
                  <c:v>Pakistan</c:v>
                </c:pt>
                <c:pt idx="157">
                  <c:v>Palau</c:v>
                </c:pt>
                <c:pt idx="158">
                  <c:v>Palestine</c:v>
                </c:pt>
                <c:pt idx="159">
                  <c:v>Panama</c:v>
                </c:pt>
                <c:pt idx="160">
                  <c:v>Papua New Guinea</c:v>
                </c:pt>
                <c:pt idx="161">
                  <c:v>Paraguay</c:v>
                </c:pt>
                <c:pt idx="162">
                  <c:v>Peru</c:v>
                </c:pt>
                <c:pt idx="163">
                  <c:v>Philippines</c:v>
                </c:pt>
                <c:pt idx="164">
                  <c:v>Poland</c:v>
                </c:pt>
                <c:pt idx="165">
                  <c:v>Portugal</c:v>
                </c:pt>
                <c:pt idx="166">
                  <c:v>Puerto Rico</c:v>
                </c:pt>
                <c:pt idx="167">
                  <c:v>Qatar</c:v>
                </c:pt>
                <c:pt idx="168">
                  <c:v>Republic of the Congo</c:v>
                </c:pt>
                <c:pt idx="169">
                  <c:v>Reunion</c:v>
                </c:pt>
                <c:pt idx="170">
                  <c:v>Romania</c:v>
                </c:pt>
                <c:pt idx="171">
                  <c:v>Russia</c:v>
                </c:pt>
                <c:pt idx="172">
                  <c:v>Rwanda</c:v>
                </c:pt>
                <c:pt idx="173">
                  <c:v>Saint Barthelemy</c:v>
                </c:pt>
                <c:pt idx="174">
                  <c:v>Saint Kitts and Nevis</c:v>
                </c:pt>
                <c:pt idx="175">
                  <c:v>Saint Lucia</c:v>
                </c:pt>
                <c:pt idx="176">
                  <c:v>Saint Martin</c:v>
                </c:pt>
                <c:pt idx="177">
                  <c:v>Saint Pierre and Miquelon</c:v>
                </c:pt>
                <c:pt idx="178">
                  <c:v>Saint Vincent and the Grenadines</c:v>
                </c:pt>
                <c:pt idx="179">
                  <c:v>Samoa</c:v>
                </c:pt>
                <c:pt idx="180">
                  <c:v>San Marino</c:v>
                </c:pt>
                <c:pt idx="181">
                  <c:v>Sao Tome and Principe</c:v>
                </c:pt>
                <c:pt idx="182">
                  <c:v>Saudi Arabia</c:v>
                </c:pt>
                <c:pt idx="183">
                  <c:v>Senegal</c:v>
                </c:pt>
                <c:pt idx="184">
                  <c:v>Serbia</c:v>
                </c:pt>
                <c:pt idx="185">
                  <c:v>Seychelles</c:v>
                </c:pt>
                <c:pt idx="186">
                  <c:v>Sierra Leone</c:v>
                </c:pt>
                <c:pt idx="187">
                  <c:v>Singapore</c:v>
                </c:pt>
                <c:pt idx="188">
                  <c:v>Sint Maarten</c:v>
                </c:pt>
                <c:pt idx="189">
                  <c:v>Slovakia</c:v>
                </c:pt>
                <c:pt idx="190">
                  <c:v>Slovenia</c:v>
                </c:pt>
                <c:pt idx="191">
                  <c:v>Solomon Islands</c:v>
                </c:pt>
                <c:pt idx="192">
                  <c:v>Somalia</c:v>
                </c:pt>
                <c:pt idx="193">
                  <c:v>South Africa</c:v>
                </c:pt>
                <c:pt idx="194">
                  <c:v>South Korea</c:v>
                </c:pt>
                <c:pt idx="195">
                  <c:v>South Sudan</c:v>
                </c:pt>
                <c:pt idx="196">
                  <c:v>Spain</c:v>
                </c:pt>
                <c:pt idx="197">
                  <c:v>Sri Lanka</c:v>
                </c:pt>
                <c:pt idx="198">
                  <c:v>Sudan</c:v>
                </c:pt>
                <c:pt idx="199">
                  <c:v>Suriname</c:v>
                </c:pt>
                <c:pt idx="200">
                  <c:v>Sweden</c:v>
                </c:pt>
                <c:pt idx="201">
                  <c:v>Switzerland</c:v>
                </c:pt>
                <c:pt idx="202">
                  <c:v>Syria</c:v>
                </c:pt>
                <c:pt idx="203">
                  <c:v>Taiwan</c:v>
                </c:pt>
                <c:pt idx="204">
                  <c:v>Tajikistan</c:v>
                </c:pt>
                <c:pt idx="205">
                  <c:v>Tanzania</c:v>
                </c:pt>
                <c:pt idx="206">
                  <c:v>Thailand</c:v>
                </c:pt>
                <c:pt idx="207">
                  <c:v>Timor-Leste</c:v>
                </c:pt>
                <c:pt idx="208">
                  <c:v>Togo</c:v>
                </c:pt>
                <c:pt idx="209">
                  <c:v>Tokelau</c:v>
                </c:pt>
                <c:pt idx="210">
                  <c:v>Tonga</c:v>
                </c:pt>
                <c:pt idx="211">
                  <c:v>Trinidad and Tobago</c:v>
                </c:pt>
                <c:pt idx="212">
                  <c:v>Tunisia</c:v>
                </c:pt>
                <c:pt idx="213">
                  <c:v>Turkey</c:v>
                </c:pt>
                <c:pt idx="214">
                  <c:v>Turkmenistan</c:v>
                </c:pt>
                <c:pt idx="215">
                  <c:v>Turks and Caicos Islands</c:v>
                </c:pt>
                <c:pt idx="216">
                  <c:v>Tuvalu</c:v>
                </c:pt>
                <c:pt idx="217">
                  <c:v>Uganda</c:v>
                </c:pt>
                <c:pt idx="218">
                  <c:v>Ukraine</c:v>
                </c:pt>
                <c:pt idx="219">
                  <c:v>United Arab Emirates</c:v>
                </c:pt>
                <c:pt idx="220">
                  <c:v>United Kingdom</c:v>
                </c:pt>
                <c:pt idx="221">
                  <c:v>United States</c:v>
                </c:pt>
                <c:pt idx="222">
                  <c:v>United States Virgin Islands</c:v>
                </c:pt>
                <c:pt idx="223">
                  <c:v>Uruguay</c:v>
                </c:pt>
                <c:pt idx="224">
                  <c:v>Uzbekistan</c:v>
                </c:pt>
                <c:pt idx="225">
                  <c:v>Vanuatu</c:v>
                </c:pt>
                <c:pt idx="226">
                  <c:v>Vatican City</c:v>
                </c:pt>
                <c:pt idx="227">
                  <c:v>Venezuela</c:v>
                </c:pt>
                <c:pt idx="228">
                  <c:v>Vietnam</c:v>
                </c:pt>
                <c:pt idx="229">
                  <c:v>Wallis and Futuna</c:v>
                </c:pt>
                <c:pt idx="230">
                  <c:v>Western Sahara</c:v>
                </c:pt>
                <c:pt idx="231">
                  <c:v>Yemen</c:v>
                </c:pt>
                <c:pt idx="232">
                  <c:v>Zambia</c:v>
                </c:pt>
                <c:pt idx="233">
                  <c:v>Zimbabwe</c:v>
                </c:pt>
              </c:strCache>
            </c:strRef>
          </c:cat>
          <c:val>
            <c:numRef>
              <c:f>population_data!$AC$19:$AC$253</c:f>
              <c:numCache>
                <c:formatCode>General</c:formatCode>
                <c:ptCount val="234"/>
                <c:pt idx="0">
                  <c:v>28189.671999999999</c:v>
                </c:pt>
                <c:pt idx="1">
                  <c:v>2913.3989999999999</c:v>
                </c:pt>
                <c:pt idx="2">
                  <c:v>35856.343999999997</c:v>
                </c:pt>
                <c:pt idx="3">
                  <c:v>54.848999999999997</c:v>
                </c:pt>
                <c:pt idx="4">
                  <c:v>71.519000000000005</c:v>
                </c:pt>
                <c:pt idx="5">
                  <c:v>23364.185000000001</c:v>
                </c:pt>
                <c:pt idx="6">
                  <c:v>13.172000000000001</c:v>
                </c:pt>
                <c:pt idx="7">
                  <c:v>85.694999999999993</c:v>
                </c:pt>
                <c:pt idx="8">
                  <c:v>41100.123</c:v>
                </c:pt>
                <c:pt idx="9">
                  <c:v>2946.2930000000001</c:v>
                </c:pt>
                <c:pt idx="10">
                  <c:v>100.34099999999999</c:v>
                </c:pt>
                <c:pt idx="11">
                  <c:v>22019.168000000001</c:v>
                </c:pt>
                <c:pt idx="12">
                  <c:v>8362.8289999999997</c:v>
                </c:pt>
                <c:pt idx="13">
                  <c:v>9237.2019999999993</c:v>
                </c:pt>
                <c:pt idx="14">
                  <c:v>373.27199999999999</c:v>
                </c:pt>
                <c:pt idx="15">
                  <c:v>1213.645</c:v>
                </c:pt>
                <c:pt idx="16">
                  <c:v>148391.139</c:v>
                </c:pt>
                <c:pt idx="17">
                  <c:v>274.71100000000001</c:v>
                </c:pt>
                <c:pt idx="18">
                  <c:v>9731.4269999999997</c:v>
                </c:pt>
                <c:pt idx="19">
                  <c:v>10877.947</c:v>
                </c:pt>
                <c:pt idx="20">
                  <c:v>322.10599999999999</c:v>
                </c:pt>
                <c:pt idx="21">
                  <c:v>9445.7099999999991</c:v>
                </c:pt>
                <c:pt idx="22">
                  <c:v>63.447000000000003</c:v>
                </c:pt>
                <c:pt idx="23">
                  <c:v>705.51599999999996</c:v>
                </c:pt>
                <c:pt idx="24">
                  <c:v>10223.27</c:v>
                </c:pt>
                <c:pt idx="25">
                  <c:v>3811.0880000000002</c:v>
                </c:pt>
                <c:pt idx="26">
                  <c:v>2091.6640000000002</c:v>
                </c:pt>
                <c:pt idx="27">
                  <c:v>196353.492</c:v>
                </c:pt>
                <c:pt idx="28">
                  <c:v>27.556000000000001</c:v>
                </c:pt>
                <c:pt idx="29">
                  <c:v>396.053</c:v>
                </c:pt>
                <c:pt idx="30">
                  <c:v>7592.2730000000001</c:v>
                </c:pt>
                <c:pt idx="31">
                  <c:v>16116.844999999999</c:v>
                </c:pt>
                <c:pt idx="32">
                  <c:v>9126.6049999999996</c:v>
                </c:pt>
                <c:pt idx="33">
                  <c:v>14363.531999999999</c:v>
                </c:pt>
                <c:pt idx="34">
                  <c:v>19878.036</c:v>
                </c:pt>
                <c:pt idx="35">
                  <c:v>33963.411999999997</c:v>
                </c:pt>
                <c:pt idx="36">
                  <c:v>521.21199999999999</c:v>
                </c:pt>
                <c:pt idx="37">
                  <c:v>54.073999999999998</c:v>
                </c:pt>
                <c:pt idx="38">
                  <c:v>4660.067</c:v>
                </c:pt>
                <c:pt idx="39">
                  <c:v>11894.727000000001</c:v>
                </c:pt>
                <c:pt idx="40">
                  <c:v>17004.162</c:v>
                </c:pt>
                <c:pt idx="41">
                  <c:v>1348191.368</c:v>
                </c:pt>
                <c:pt idx="42">
                  <c:v>44816.108</c:v>
                </c:pt>
                <c:pt idx="43">
                  <c:v>656.024</c:v>
                </c:pt>
                <c:pt idx="44">
                  <c:v>17.212</c:v>
                </c:pt>
                <c:pt idx="45">
                  <c:v>4622.2520000000004</c:v>
                </c:pt>
                <c:pt idx="46">
                  <c:v>4368.6819999999998</c:v>
                </c:pt>
                <c:pt idx="47">
                  <c:v>11290.416999999999</c:v>
                </c:pt>
                <c:pt idx="48">
                  <c:v>159.38</c:v>
                </c:pt>
                <c:pt idx="49">
                  <c:v>1129.6859999999999</c:v>
                </c:pt>
                <c:pt idx="50">
                  <c:v>10464.749</c:v>
                </c:pt>
                <c:pt idx="51">
                  <c:v>5550.8490000000002</c:v>
                </c:pt>
                <c:pt idx="52">
                  <c:v>919.19899999999996</c:v>
                </c:pt>
                <c:pt idx="53">
                  <c:v>68.754999999999995</c:v>
                </c:pt>
                <c:pt idx="54">
                  <c:v>9775.7549999999992</c:v>
                </c:pt>
                <c:pt idx="55">
                  <c:v>66391.256999999998</c:v>
                </c:pt>
                <c:pt idx="56">
                  <c:v>14989.584999999999</c:v>
                </c:pt>
                <c:pt idx="57">
                  <c:v>87252.413</c:v>
                </c:pt>
                <c:pt idx="58">
                  <c:v>6114.0339999999997</c:v>
                </c:pt>
                <c:pt idx="59">
                  <c:v>1094.5239999999999</c:v>
                </c:pt>
                <c:pt idx="60">
                  <c:v>3147.7269999999999</c:v>
                </c:pt>
                <c:pt idx="61">
                  <c:v>1331.5350000000001</c:v>
                </c:pt>
                <c:pt idx="62">
                  <c:v>1099.92</c:v>
                </c:pt>
                <c:pt idx="63">
                  <c:v>89237.790999999997</c:v>
                </c:pt>
                <c:pt idx="64">
                  <c:v>3.1869999999999998</c:v>
                </c:pt>
                <c:pt idx="65">
                  <c:v>48.41</c:v>
                </c:pt>
                <c:pt idx="66">
                  <c:v>905.16899999999998</c:v>
                </c:pt>
                <c:pt idx="67">
                  <c:v>5363.2709999999997</c:v>
                </c:pt>
                <c:pt idx="68">
                  <c:v>62444.567000000003</c:v>
                </c:pt>
                <c:pt idx="69">
                  <c:v>228.453</c:v>
                </c:pt>
                <c:pt idx="70">
                  <c:v>283.78800000000001</c:v>
                </c:pt>
                <c:pt idx="71">
                  <c:v>1711.105</c:v>
                </c:pt>
                <c:pt idx="72">
                  <c:v>1937.2750000000001</c:v>
                </c:pt>
                <c:pt idx="73">
                  <c:v>3836.8310000000001</c:v>
                </c:pt>
                <c:pt idx="74">
                  <c:v>81325.09</c:v>
                </c:pt>
                <c:pt idx="75">
                  <c:v>25574.719000000001</c:v>
                </c:pt>
                <c:pt idx="76">
                  <c:v>31.262</c:v>
                </c:pt>
                <c:pt idx="77">
                  <c:v>11033.782999999999</c:v>
                </c:pt>
                <c:pt idx="78">
                  <c:v>56.350999999999999</c:v>
                </c:pt>
                <c:pt idx="79">
                  <c:v>114.039</c:v>
                </c:pt>
                <c:pt idx="80">
                  <c:v>403.072</c:v>
                </c:pt>
                <c:pt idx="81">
                  <c:v>164.905</c:v>
                </c:pt>
                <c:pt idx="82">
                  <c:v>14543.120999999999</c:v>
                </c:pt>
                <c:pt idx="83">
                  <c:v>60.781999999999996</c:v>
                </c:pt>
                <c:pt idx="84">
                  <c:v>10270.727999999999</c:v>
                </c:pt>
                <c:pt idx="85">
                  <c:v>1567.22</c:v>
                </c:pt>
                <c:pt idx="86">
                  <c:v>747.93200000000002</c:v>
                </c:pt>
                <c:pt idx="87">
                  <c:v>9842.8799999999992</c:v>
                </c:pt>
                <c:pt idx="88">
                  <c:v>8450.9330000000009</c:v>
                </c:pt>
                <c:pt idx="89">
                  <c:v>7132.4380000000001</c:v>
                </c:pt>
                <c:pt idx="90">
                  <c:v>9986.8250000000007</c:v>
                </c:pt>
                <c:pt idx="91">
                  <c:v>318.33300000000003</c:v>
                </c:pt>
                <c:pt idx="92">
                  <c:v>1240613.6200000001</c:v>
                </c:pt>
                <c:pt idx="93">
                  <c:v>244016.17300000001</c:v>
                </c:pt>
                <c:pt idx="94">
                  <c:v>75373.854999999996</c:v>
                </c:pt>
                <c:pt idx="95">
                  <c:v>31264.875</c:v>
                </c:pt>
                <c:pt idx="96">
                  <c:v>4524.585</c:v>
                </c:pt>
                <c:pt idx="97">
                  <c:v>83.828000000000003</c:v>
                </c:pt>
                <c:pt idx="98">
                  <c:v>7328.4449999999997</c:v>
                </c:pt>
                <c:pt idx="99">
                  <c:v>59822.45</c:v>
                </c:pt>
                <c:pt idx="100">
                  <c:v>21120.042000000001</c:v>
                </c:pt>
                <c:pt idx="101">
                  <c:v>2733.8960000000002</c:v>
                </c:pt>
                <c:pt idx="102">
                  <c:v>128105.431</c:v>
                </c:pt>
                <c:pt idx="103">
                  <c:v>96.150999999999996</c:v>
                </c:pt>
                <c:pt idx="104">
                  <c:v>6931.2579999999998</c:v>
                </c:pt>
                <c:pt idx="105">
                  <c:v>16627.837</c:v>
                </c:pt>
                <c:pt idx="106">
                  <c:v>41517.894999999997</c:v>
                </c:pt>
                <c:pt idx="107">
                  <c:v>107.995</c:v>
                </c:pt>
                <c:pt idx="108">
                  <c:v>2943.3560000000002</c:v>
                </c:pt>
                <c:pt idx="109">
                  <c:v>5483.7740000000003</c:v>
                </c:pt>
                <c:pt idx="110">
                  <c:v>6323.4179999999997</c:v>
                </c:pt>
                <c:pt idx="111">
                  <c:v>2101.5300000000002</c:v>
                </c:pt>
                <c:pt idx="112">
                  <c:v>4995.8</c:v>
                </c:pt>
                <c:pt idx="113">
                  <c:v>2022.7470000000001</c:v>
                </c:pt>
                <c:pt idx="114">
                  <c:v>4019.9560000000001</c:v>
                </c:pt>
                <c:pt idx="115">
                  <c:v>6491.9880000000003</c:v>
                </c:pt>
                <c:pt idx="116">
                  <c:v>35.926000000000002</c:v>
                </c:pt>
                <c:pt idx="117">
                  <c:v>3139.0189999999998</c:v>
                </c:pt>
                <c:pt idx="118">
                  <c:v>507.07</c:v>
                </c:pt>
                <c:pt idx="119">
                  <c:v>557.29700000000003</c:v>
                </c:pt>
                <c:pt idx="120">
                  <c:v>21731.053</c:v>
                </c:pt>
                <c:pt idx="121">
                  <c:v>14718.422</c:v>
                </c:pt>
                <c:pt idx="122">
                  <c:v>28717.731</c:v>
                </c:pt>
                <c:pt idx="123">
                  <c:v>361.57499999999999</c:v>
                </c:pt>
                <c:pt idx="124">
                  <c:v>15529.181</c:v>
                </c:pt>
                <c:pt idx="125">
                  <c:v>418.755</c:v>
                </c:pt>
                <c:pt idx="126">
                  <c:v>53.415999999999997</c:v>
                </c:pt>
                <c:pt idx="127">
                  <c:v>392.18099999999998</c:v>
                </c:pt>
                <c:pt idx="128">
                  <c:v>3419.4609999999998</c:v>
                </c:pt>
                <c:pt idx="129">
                  <c:v>1283.33</c:v>
                </c:pt>
                <c:pt idx="130">
                  <c:v>211.786</c:v>
                </c:pt>
                <c:pt idx="131">
                  <c:v>112532.401</c:v>
                </c:pt>
                <c:pt idx="132">
                  <c:v>107.58799999999999</c:v>
                </c:pt>
                <c:pt idx="133">
                  <c:v>3678.1860000000001</c:v>
                </c:pt>
                <c:pt idx="134">
                  <c:v>33.177999999999997</c:v>
                </c:pt>
                <c:pt idx="135">
                  <c:v>2702.52</c:v>
                </c:pt>
                <c:pt idx="136">
                  <c:v>631.04399999999998</c:v>
                </c:pt>
                <c:pt idx="137">
                  <c:v>4.9379999999999997</c:v>
                </c:pt>
                <c:pt idx="138">
                  <c:v>32464.865000000002</c:v>
                </c:pt>
                <c:pt idx="139">
                  <c:v>23073.723000000002</c:v>
                </c:pt>
                <c:pt idx="140">
                  <c:v>49390.987999999998</c:v>
                </c:pt>
                <c:pt idx="141">
                  <c:v>2099.2710000000002</c:v>
                </c:pt>
                <c:pt idx="142">
                  <c:v>10.241</c:v>
                </c:pt>
                <c:pt idx="143">
                  <c:v>27161.566999999999</c:v>
                </c:pt>
                <c:pt idx="144">
                  <c:v>16617.116999999998</c:v>
                </c:pt>
                <c:pt idx="145">
                  <c:v>261.42599999999999</c:v>
                </c:pt>
                <c:pt idx="146">
                  <c:v>4346.3379999999997</c:v>
                </c:pt>
                <c:pt idx="147">
                  <c:v>5855.7340000000004</c:v>
                </c:pt>
                <c:pt idx="148">
                  <c:v>16647.543000000001</c:v>
                </c:pt>
                <c:pt idx="149">
                  <c:v>160952.853</c:v>
                </c:pt>
                <c:pt idx="150">
                  <c:v>1.8120000000000001</c:v>
                </c:pt>
                <c:pt idx="151">
                  <c:v>24686.435000000001</c:v>
                </c:pt>
                <c:pt idx="152">
                  <c:v>2093.828</c:v>
                </c:pt>
                <c:pt idx="153">
                  <c:v>54.087000000000003</c:v>
                </c:pt>
                <c:pt idx="154">
                  <c:v>4889.741</c:v>
                </c:pt>
                <c:pt idx="155">
                  <c:v>2881.9140000000002</c:v>
                </c:pt>
                <c:pt idx="156">
                  <c:v>194454.49799999999</c:v>
                </c:pt>
                <c:pt idx="157">
                  <c:v>18.54</c:v>
                </c:pt>
                <c:pt idx="158">
                  <c:v>3992.2779999999998</c:v>
                </c:pt>
                <c:pt idx="159">
                  <c:v>3623.6170000000002</c:v>
                </c:pt>
                <c:pt idx="160">
                  <c:v>7583.2690000000002</c:v>
                </c:pt>
                <c:pt idx="161">
                  <c:v>5768.6130000000003</c:v>
                </c:pt>
                <c:pt idx="162">
                  <c:v>29229.572</c:v>
                </c:pt>
                <c:pt idx="163">
                  <c:v>94636.7</c:v>
                </c:pt>
                <c:pt idx="164">
                  <c:v>38597.353000000003</c:v>
                </c:pt>
                <c:pt idx="165">
                  <c:v>10588.401</c:v>
                </c:pt>
                <c:pt idx="166">
                  <c:v>3717.922</c:v>
                </c:pt>
                <c:pt idx="167">
                  <c:v>1713.5039999999999</c:v>
                </c:pt>
                <c:pt idx="168">
                  <c:v>4437.884</c:v>
                </c:pt>
                <c:pt idx="169">
                  <c:v>890.13</c:v>
                </c:pt>
                <c:pt idx="170">
                  <c:v>20335.210999999999</c:v>
                </c:pt>
                <c:pt idx="171">
                  <c:v>143242.59899999999</c:v>
                </c:pt>
                <c:pt idx="172">
                  <c:v>10309.031000000001</c:v>
                </c:pt>
                <c:pt idx="173">
                  <c:v>8.9879999999999995</c:v>
                </c:pt>
                <c:pt idx="174">
                  <c:v>47.402999999999999</c:v>
                </c:pt>
                <c:pt idx="175">
                  <c:v>170.935</c:v>
                </c:pt>
                <c:pt idx="176">
                  <c:v>36.457999999999998</c:v>
                </c:pt>
                <c:pt idx="177">
                  <c:v>6.0519999999999996</c:v>
                </c:pt>
                <c:pt idx="178">
                  <c:v>109.30800000000001</c:v>
                </c:pt>
                <c:pt idx="179">
                  <c:v>194.672</c:v>
                </c:pt>
                <c:pt idx="180">
                  <c:v>31.608000000000001</c:v>
                </c:pt>
                <c:pt idx="181">
                  <c:v>182.13800000000001</c:v>
                </c:pt>
                <c:pt idx="182">
                  <c:v>29411.929</c:v>
                </c:pt>
                <c:pt idx="183">
                  <c:v>12530.120999999999</c:v>
                </c:pt>
                <c:pt idx="184">
                  <c:v>7653.7479999999996</c:v>
                </c:pt>
                <c:pt idx="185">
                  <c:v>92.409000000000006</c:v>
                </c:pt>
                <c:pt idx="186">
                  <c:v>6436.6980000000003</c:v>
                </c:pt>
                <c:pt idx="187">
                  <c:v>5163.59</c:v>
                </c:pt>
                <c:pt idx="188">
                  <c:v>33.033999999999999</c:v>
                </c:pt>
                <c:pt idx="189">
                  <c:v>5396.424</c:v>
                </c:pt>
                <c:pt idx="190">
                  <c:v>2057.2869999999998</c:v>
                </c:pt>
                <c:pt idx="191">
                  <c:v>540.39400000000001</c:v>
                </c:pt>
                <c:pt idx="192">
                  <c:v>12026.648999999999</c:v>
                </c:pt>
                <c:pt idx="193">
                  <c:v>51784.921000000002</c:v>
                </c:pt>
                <c:pt idx="194">
                  <c:v>48813.042000000001</c:v>
                </c:pt>
                <c:pt idx="195">
                  <c:v>9714.4189999999999</c:v>
                </c:pt>
                <c:pt idx="196">
                  <c:v>46572.771999999997</c:v>
                </c:pt>
                <c:pt idx="197">
                  <c:v>20668.557000000001</c:v>
                </c:pt>
                <c:pt idx="198">
                  <c:v>33739.932999999997</c:v>
                </c:pt>
                <c:pt idx="199">
                  <c:v>546.08000000000004</c:v>
                </c:pt>
                <c:pt idx="200">
                  <c:v>9381.7289999999994</c:v>
                </c:pt>
                <c:pt idx="201">
                  <c:v>7822.4350000000004</c:v>
                </c:pt>
                <c:pt idx="202">
                  <c:v>22337.562999999998</c:v>
                </c:pt>
                <c:pt idx="203">
                  <c:v>23083.082999999999</c:v>
                </c:pt>
                <c:pt idx="204">
                  <c:v>7621.7790000000005</c:v>
                </c:pt>
                <c:pt idx="205">
                  <c:v>45110.527000000002</c:v>
                </c:pt>
                <c:pt idx="206">
                  <c:v>68270.489000000001</c:v>
                </c:pt>
                <c:pt idx="207">
                  <c:v>1088.4860000000001</c:v>
                </c:pt>
                <c:pt idx="208">
                  <c:v>6571.8549999999996</c:v>
                </c:pt>
                <c:pt idx="209">
                  <c:v>1.367</c:v>
                </c:pt>
                <c:pt idx="210">
                  <c:v>107.383</c:v>
                </c:pt>
                <c:pt idx="211">
                  <c:v>1410.296</c:v>
                </c:pt>
                <c:pt idx="212">
                  <c:v>10895.063</c:v>
                </c:pt>
                <c:pt idx="213">
                  <c:v>73195.345000000001</c:v>
                </c:pt>
                <c:pt idx="214">
                  <c:v>5267.97</c:v>
                </c:pt>
                <c:pt idx="215">
                  <c:v>29.725999999999999</c:v>
                </c:pt>
                <c:pt idx="216">
                  <c:v>10.55</c:v>
                </c:pt>
                <c:pt idx="217">
                  <c:v>32341.727999999999</c:v>
                </c:pt>
                <c:pt idx="218">
                  <c:v>45683.02</c:v>
                </c:pt>
                <c:pt idx="219">
                  <c:v>8481.7710000000006</c:v>
                </c:pt>
                <c:pt idx="220">
                  <c:v>62760.038999999997</c:v>
                </c:pt>
                <c:pt idx="221">
                  <c:v>311182.84499999997</c:v>
                </c:pt>
                <c:pt idx="222">
                  <c:v>106.142</c:v>
                </c:pt>
                <c:pt idx="223">
                  <c:v>3352.6509999999998</c:v>
                </c:pt>
                <c:pt idx="224">
                  <c:v>28614.226999999999</c:v>
                </c:pt>
                <c:pt idx="225">
                  <c:v>245.453</c:v>
                </c:pt>
                <c:pt idx="226">
                  <c:v>0.59599999999999997</c:v>
                </c:pt>
                <c:pt idx="227">
                  <c:v>28715.022000000001</c:v>
                </c:pt>
                <c:pt idx="228">
                  <c:v>87411.012000000002</c:v>
                </c:pt>
                <c:pt idx="229">
                  <c:v>13.141999999999999</c:v>
                </c:pt>
                <c:pt idx="230">
                  <c:v>413.29599999999999</c:v>
                </c:pt>
                <c:pt idx="231">
                  <c:v>24743.946</c:v>
                </c:pt>
                <c:pt idx="232">
                  <c:v>13792.085999999999</c:v>
                </c:pt>
                <c:pt idx="233">
                  <c:v>12839.771000000001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3616000"/>
        <c:axId val="243615616"/>
      </c:barChart>
      <c:catAx>
        <c:axId val="243616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43615616"/>
        <c:crosses val="autoZero"/>
        <c:auto val="1"/>
        <c:lblAlgn val="ctr"/>
        <c:lblOffset val="100"/>
        <c:noMultiLvlLbl val="0"/>
      </c:catAx>
      <c:valAx>
        <c:axId val="24361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616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population_data1!$D$1</c:f>
              <c:strCache>
                <c:ptCount val="1"/>
                <c:pt idx="0">
                  <c:v>Migrants(net)</c:v>
                </c:pt>
              </c:strCache>
            </c:strRef>
          </c:tx>
          <c:invertIfNegative val="0"/>
          <c:val>
            <c:numRef>
              <c:f>population_data1!$D$2:$D$235</c:f>
              <c:numCache>
                <c:formatCode>General</c:formatCode>
                <c:ptCount val="234"/>
                <c:pt idx="0">
                  <c:v>-348399</c:v>
                </c:pt>
                <c:pt idx="1">
                  <c:v>-532687</c:v>
                </c:pt>
                <c:pt idx="2">
                  <c:v>954806</c:v>
                </c:pt>
                <c:pt idx="3">
                  <c:v>-98955</c:v>
                </c:pt>
                <c:pt idx="4">
                  <c:v>-233379</c:v>
                </c:pt>
                <c:pt idx="5">
                  <c:v>-60000</c:v>
                </c:pt>
                <c:pt idx="6">
                  <c:v>21200</c:v>
                </c:pt>
                <c:pt idx="7">
                  <c:v>-369501</c:v>
                </c:pt>
                <c:pt idx="8">
                  <c:v>182456</c:v>
                </c:pt>
                <c:pt idx="9">
                  <c:v>-60000</c:v>
                </c:pt>
                <c:pt idx="10">
                  <c:v>71560</c:v>
                </c:pt>
                <c:pt idx="11">
                  <c:v>30000</c:v>
                </c:pt>
                <c:pt idx="12">
                  <c:v>-67152</c:v>
                </c:pt>
                <c:pt idx="13">
                  <c:v>-38033</c:v>
                </c:pt>
                <c:pt idx="14">
                  <c:v>23861</c:v>
                </c:pt>
                <c:pt idx="15">
                  <c:v>-80000</c:v>
                </c:pt>
                <c:pt idx="16">
                  <c:v>-55000</c:v>
                </c:pt>
                <c:pt idx="17">
                  <c:v>283922</c:v>
                </c:pt>
                <c:pt idx="18">
                  <c:v>543822</c:v>
                </c:pt>
                <c:pt idx="19">
                  <c:v>19444</c:v>
                </c:pt>
                <c:pt idx="20">
                  <c:v>260650</c:v>
                </c:pt>
                <c:pt idx="21">
                  <c:v>-40076</c:v>
                </c:pt>
                <c:pt idx="22">
                  <c:v>36527</c:v>
                </c:pt>
                <c:pt idx="23">
                  <c:v>145405</c:v>
                </c:pt>
                <c:pt idx="24">
                  <c:v>148943</c:v>
                </c:pt>
                <c:pt idx="25">
                  <c:v>-163313</c:v>
                </c:pt>
                <c:pt idx="26">
                  <c:v>-10000</c:v>
                </c:pt>
                <c:pt idx="27">
                  <c:v>204796</c:v>
                </c:pt>
                <c:pt idx="28">
                  <c:v>11731</c:v>
                </c:pt>
                <c:pt idx="29">
                  <c:v>40000</c:v>
                </c:pt>
                <c:pt idx="30">
                  <c:v>168694</c:v>
                </c:pt>
                <c:pt idx="31">
                  <c:v>-50000</c:v>
                </c:pt>
                <c:pt idx="32">
                  <c:v>4800</c:v>
                </c:pt>
                <c:pt idx="33">
                  <c:v>-10000</c:v>
                </c:pt>
                <c:pt idx="34">
                  <c:v>7834</c:v>
                </c:pt>
                <c:pt idx="35">
                  <c:v>-62920</c:v>
                </c:pt>
                <c:pt idx="36">
                  <c:v>-29395</c:v>
                </c:pt>
                <c:pt idx="37">
                  <c:v>10000</c:v>
                </c:pt>
                <c:pt idx="38">
                  <c:v>242032</c:v>
                </c:pt>
                <c:pt idx="39">
                  <c:v>-51419</c:v>
                </c:pt>
                <c:pt idx="40">
                  <c:v>134979</c:v>
                </c:pt>
                <c:pt idx="41">
                  <c:v>6413</c:v>
                </c:pt>
                <c:pt idx="42">
                  <c:v>-8863</c:v>
                </c:pt>
                <c:pt idx="43">
                  <c:v>99069</c:v>
                </c:pt>
                <c:pt idx="44">
                  <c:v>50000</c:v>
                </c:pt>
                <c:pt idx="45">
                  <c:v>-30000</c:v>
                </c:pt>
                <c:pt idx="46">
                  <c:v>-10000</c:v>
                </c:pt>
                <c:pt idx="47">
                  <c:v>-5000</c:v>
                </c:pt>
                <c:pt idx="48">
                  <c:v>41710</c:v>
                </c:pt>
                <c:pt idx="49">
                  <c:v>-1500</c:v>
                </c:pt>
                <c:pt idx="50">
                  <c:v>-653249</c:v>
                </c:pt>
                <c:pt idx="51">
                  <c:v>#N/A</c:v>
                </c:pt>
                <c:pt idx="52">
                  <c:v>-4800</c:v>
                </c:pt>
                <c:pt idx="53">
                  <c:v>4000</c:v>
                </c:pt>
                <c:pt idx="54">
                  <c:v>158246</c:v>
                </c:pt>
                <c:pt idx="55">
                  <c:v>-5403</c:v>
                </c:pt>
                <c:pt idx="56">
                  <c:v>30001</c:v>
                </c:pt>
                <c:pt idx="57">
                  <c:v>-25000</c:v>
                </c:pt>
                <c:pt idx="58">
                  <c:v>-40000</c:v>
                </c:pt>
                <c:pt idx="59">
                  <c:v>-427391</c:v>
                </c:pt>
                <c:pt idx="60">
                  <c:v>-97986</c:v>
                </c:pt>
                <c:pt idx="61">
                  <c:v>-16053</c:v>
                </c:pt>
                <c:pt idx="62">
                  <c:v>-8000</c:v>
                </c:pt>
                <c:pt idx="63">
                  <c:v>-73999</c:v>
                </c:pt>
                <c:pt idx="64">
                  <c:v>111708</c:v>
                </c:pt>
                <c:pt idx="65">
                  <c:v>-18000</c:v>
                </c:pt>
                <c:pt idx="66">
                  <c:v>36400</c:v>
                </c:pt>
                <c:pt idx="67">
                  <c:v>-9215</c:v>
                </c:pt>
                <c:pt idx="68">
                  <c:v>2000</c:v>
                </c:pt>
                <c:pt idx="69">
                  <c:v>-40000</c:v>
                </c:pt>
                <c:pt idx="70">
                  <c:v>16000</c:v>
                </c:pt>
                <c:pt idx="71">
                  <c:v>-20000</c:v>
                </c:pt>
                <c:pt idx="72">
                  <c:v>-30000</c:v>
                </c:pt>
                <c:pt idx="73">
                  <c:v>-116858</c:v>
                </c:pt>
                <c:pt idx="74">
                  <c:v>-4000</c:v>
                </c:pt>
                <c:pt idx="75">
                  <c:v>-9000</c:v>
                </c:pt>
                <c:pt idx="76">
                  <c:v>-2000</c:v>
                </c:pt>
                <c:pt idx="77">
                  <c:v>2001</c:v>
                </c:pt>
                <c:pt idx="78">
                  <c:v>-4000</c:v>
                </c:pt>
                <c:pt idx="79">
                  <c:v>-9504</c:v>
                </c:pt>
                <c:pt idx="80">
                  <c:v>48000</c:v>
                </c:pt>
                <c:pt idx="81">
                  <c:v>-35000</c:v>
                </c:pt>
                <c:pt idx="82">
                  <c:v>10220</c:v>
                </c:pt>
                <c:pt idx="83">
                  <c:v>-30000</c:v>
                </c:pt>
                <c:pt idx="84">
                  <c:v>-14400</c:v>
                </c:pt>
                <c:pt idx="85">
                  <c:v>-174200</c:v>
                </c:pt>
                <c:pt idx="86">
                  <c:v>40000</c:v>
                </c:pt>
                <c:pt idx="87">
                  <c:v>#N/A</c:v>
                </c:pt>
                <c:pt idx="88">
                  <c:v>-6800</c:v>
                </c:pt>
                <c:pt idx="89">
                  <c:v>-16000</c:v>
                </c:pt>
                <c:pt idx="90">
                  <c:v>1200</c:v>
                </c:pt>
                <c:pt idx="91">
                  <c:v>-6000</c:v>
                </c:pt>
                <c:pt idx="92">
                  <c:v>-800</c:v>
                </c:pt>
                <c:pt idx="93">
                  <c:v>6000</c:v>
                </c:pt>
                <c:pt idx="94">
                  <c:v>-20000</c:v>
                </c:pt>
                <c:pt idx="95">
                  <c:v>8730</c:v>
                </c:pt>
                <c:pt idx="96">
                  <c:v>40000</c:v>
                </c:pt>
                <c:pt idx="97">
                  <c:v>10000</c:v>
                </c:pt>
                <c:pt idx="98">
                  <c:v>65000</c:v>
                </c:pt>
                <c:pt idx="99">
                  <c:v>-2000</c:v>
                </c:pt>
                <c:pt idx="100">
                  <c:v>52000</c:v>
                </c:pt>
                <c:pt idx="101">
                  <c:v>-4200</c:v>
                </c:pt>
                <c:pt idx="102">
                  <c:v>-14704</c:v>
                </c:pt>
                <c:pt idx="103">
                  <c:v>29308</c:v>
                </c:pt>
                <c:pt idx="104">
                  <c:v>4000</c:v>
                </c:pt>
                <c:pt idx="105">
                  <c:v>-21272</c:v>
                </c:pt>
                <c:pt idx="106">
                  <c:v>-1999</c:v>
                </c:pt>
                <c:pt idx="107">
                  <c:v>-4800</c:v>
                </c:pt>
                <c:pt idx="108">
                  <c:v>-16556</c:v>
                </c:pt>
                <c:pt idx="109">
                  <c:v>-4000</c:v>
                </c:pt>
                <c:pt idx="110">
                  <c:v>-5000</c:v>
                </c:pt>
                <c:pt idx="111">
                  <c:v>-40539</c:v>
                </c:pt>
                <c:pt idx="112">
                  <c:v>27028</c:v>
                </c:pt>
                <c:pt idx="113">
                  <c:v>#N/A</c:v>
                </c:pt>
                <c:pt idx="114">
                  <c:v>15200</c:v>
                </c:pt>
                <c:pt idx="115">
                  <c:v>1485</c:v>
                </c:pt>
                <c:pt idx="116">
                  <c:v>-40000</c:v>
                </c:pt>
                <c:pt idx="117">
                  <c:v>14000</c:v>
                </c:pt>
                <c:pt idx="118">
                  <c:v>-30012</c:v>
                </c:pt>
                <c:pt idx="119">
                  <c:v>28000</c:v>
                </c:pt>
                <c:pt idx="120">
                  <c:v>-5000</c:v>
                </c:pt>
                <c:pt idx="121">
                  <c:v>#N/A</c:v>
                </c:pt>
                <c:pt idx="122">
                  <c:v>14881</c:v>
                </c:pt>
                <c:pt idx="123">
                  <c:v>4200</c:v>
                </c:pt>
                <c:pt idx="124">
                  <c:v>23604</c:v>
                </c:pt>
                <c:pt idx="125">
                  <c:v>5000</c:v>
                </c:pt>
                <c:pt idx="126">
                  <c:v>87400</c:v>
                </c:pt>
                <c:pt idx="127">
                  <c:v>11200</c:v>
                </c:pt>
                <c:pt idx="128">
                  <c:v>39520</c:v>
                </c:pt>
                <c:pt idx="129">
                  <c:v>-8001</c:v>
                </c:pt>
                <c:pt idx="130">
                  <c:v>-10000</c:v>
                </c:pt>
                <c:pt idx="131">
                  <c:v>-39858</c:v>
                </c:pt>
                <c:pt idx="132">
                  <c:v>-3000</c:v>
                </c:pt>
                <c:pt idx="133">
                  <c:v>-852</c:v>
                </c:pt>
                <c:pt idx="134">
                  <c:v>-1387</c:v>
                </c:pt>
                <c:pt idx="135">
                  <c:v>-97986</c:v>
                </c:pt>
                <c:pt idx="136">
                  <c:v>-21585</c:v>
                </c:pt>
                <c:pt idx="137">
                  <c:v>-14000</c:v>
                </c:pt>
                <c:pt idx="138">
                  <c:v>-11332</c:v>
                </c:pt>
                <c:pt idx="139">
                  <c:v>-4998</c:v>
                </c:pt>
                <c:pt idx="140">
                  <c:v>-32780</c:v>
                </c:pt>
                <c:pt idx="141">
                  <c:v>-3087</c:v>
                </c:pt>
                <c:pt idx="142">
                  <c:v>40000</c:v>
                </c:pt>
                <c:pt idx="143">
                  <c:v>3000</c:v>
                </c:pt>
                <c:pt idx="144">
                  <c:v>-4806</c:v>
                </c:pt>
                <c:pt idx="145">
                  <c:v>3260</c:v>
                </c:pt>
                <c:pt idx="146">
                  <c:v>-10047</c:v>
                </c:pt>
                <c:pt idx="147">
                  <c:v>2000</c:v>
                </c:pt>
                <c:pt idx="148">
                  <c:v>-1399</c:v>
                </c:pt>
                <c:pt idx="149">
                  <c:v>-1000</c:v>
                </c:pt>
                <c:pt idx="150">
                  <c:v>-14837</c:v>
                </c:pt>
                <c:pt idx="151">
                  <c:v>16000</c:v>
                </c:pt>
                <c:pt idx="152">
                  <c:v>-800</c:v>
                </c:pt>
                <c:pt idx="153">
                  <c:v>47800</c:v>
                </c:pt>
                <c:pt idx="154">
                  <c:v>-5385</c:v>
                </c:pt>
                <c:pt idx="155">
                  <c:v>3911</c:v>
                </c:pt>
                <c:pt idx="156">
                  <c:v>0</c:v>
                </c:pt>
                <c:pt idx="157">
                  <c:v>5000</c:v>
                </c:pt>
                <c:pt idx="158">
                  <c:v>-8353</c:v>
                </c:pt>
                <c:pt idx="159">
                  <c:v>900</c:v>
                </c:pt>
                <c:pt idx="160">
                  <c:v>#N/A</c:v>
                </c:pt>
                <c:pt idx="161">
                  <c:v>-6202</c:v>
                </c:pt>
                <c:pt idx="162">
                  <c:v>-2000</c:v>
                </c:pt>
                <c:pt idx="163">
                  <c:v>-6000</c:v>
                </c:pt>
                <c:pt idx="164">
                  <c:v>320</c:v>
                </c:pt>
                <c:pt idx="165">
                  <c:v>-1600</c:v>
                </c:pt>
                <c:pt idx="166">
                  <c:v>#N/A</c:v>
                </c:pt>
                <c:pt idx="167">
                  <c:v>9741</c:v>
                </c:pt>
                <c:pt idx="168">
                  <c:v>-480</c:v>
                </c:pt>
                <c:pt idx="169">
                  <c:v>-1000</c:v>
                </c:pt>
                <c:pt idx="170">
                  <c:v>#N/A</c:v>
                </c:pt>
                <c:pt idx="171">
                  <c:v>5582</c:v>
                </c:pt>
                <c:pt idx="172">
                  <c:v>900</c:v>
                </c:pt>
                <c:pt idx="173">
                  <c:v>11370</c:v>
                </c:pt>
                <c:pt idx="174">
                  <c:v>0</c:v>
                </c:pt>
                <c:pt idx="175">
                  <c:v>1000</c:v>
                </c:pt>
                <c:pt idx="176">
                  <c:v>1200</c:v>
                </c:pt>
                <c:pt idx="177">
                  <c:v>-1440</c:v>
                </c:pt>
                <c:pt idx="178">
                  <c:v>380</c:v>
                </c:pt>
                <c:pt idx="179">
                  <c:v>-960</c:v>
                </c:pt>
                <c:pt idx="180">
                  <c:v>120</c:v>
                </c:pt>
                <c:pt idx="181">
                  <c:v>0</c:v>
                </c:pt>
                <c:pt idx="182">
                  <c:v>-1000</c:v>
                </c:pt>
                <c:pt idx="183">
                  <c:v>1200</c:v>
                </c:pt>
                <c:pt idx="184">
                  <c:v>502</c:v>
                </c:pt>
                <c:pt idx="185">
                  <c:v>-79</c:v>
                </c:pt>
                <c:pt idx="186">
                  <c:v>#N/A</c:v>
                </c:pt>
                <c:pt idx="187">
                  <c:v>-2803</c:v>
                </c:pt>
                <c:pt idx="188">
                  <c:v>#N/A</c:v>
                </c:pt>
                <c:pt idx="189">
                  <c:v>0</c:v>
                </c:pt>
                <c:pt idx="190">
                  <c:v>-506</c:v>
                </c:pt>
                <c:pt idx="191">
                  <c:v>-800</c:v>
                </c:pt>
                <c:pt idx="192">
                  <c:v>-200</c:v>
                </c:pt>
                <c:pt idx="193">
                  <c:v>-2957</c:v>
                </c:pt>
                <c:pt idx="194">
                  <c:v>#N/A</c:v>
                </c:pt>
                <c:pt idx="195">
                  <c:v>-200</c:v>
                </c:pt>
                <c:pt idx="196">
                  <c:v>-800</c:v>
                </c:pt>
                <c:pt idx="197">
                  <c:v>201</c:v>
                </c:pt>
                <c:pt idx="198">
                  <c:v>#N/A</c:v>
                </c:pt>
                <c:pt idx="199">
                  <c:v>#N/A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#N/A</c:v>
                </c:pt>
                <c:pt idx="207">
                  <c:v>0</c:v>
                </c:pt>
                <c:pt idx="208">
                  <c:v>#N/A</c:v>
                </c:pt>
                <c:pt idx="209">
                  <c:v>0</c:v>
                </c:pt>
                <c:pt idx="210">
                  <c:v>#N/A</c:v>
                </c:pt>
                <c:pt idx="211">
                  <c:v>#N/A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#N/A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45739904"/>
        <c:axId val="245741824"/>
      </c:barChart>
      <c:catAx>
        <c:axId val="245739904"/>
        <c:scaling>
          <c:orientation val="minMax"/>
        </c:scaling>
        <c:delete val="0"/>
        <c:axPos val="b"/>
        <c:majorTickMark val="none"/>
        <c:minorTickMark val="none"/>
        <c:tickLblPos val="nextTo"/>
        <c:crossAx val="245741824"/>
        <c:crosses val="autoZero"/>
        <c:auto val="1"/>
        <c:lblAlgn val="ctr"/>
        <c:lblOffset val="100"/>
        <c:noMultiLvlLbl val="0"/>
      </c:catAx>
      <c:valAx>
        <c:axId val="24574182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crossAx val="2457399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1076326</xdr:colOff>
      <xdr:row>0</xdr:row>
      <xdr:rowOff>161925</xdr:rowOff>
    </xdr:from>
    <xdr:to>
      <xdr:col>37</xdr:col>
      <xdr:colOff>323850</xdr:colOff>
      <xdr:row>14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1095375</xdr:colOff>
      <xdr:row>23</xdr:row>
      <xdr:rowOff>180973</xdr:rowOff>
    </xdr:from>
    <xdr:to>
      <xdr:col>37</xdr:col>
      <xdr:colOff>1495425</xdr:colOff>
      <xdr:row>68</xdr:row>
      <xdr:rowOff>66674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276224</xdr:colOff>
      <xdr:row>1</xdr:row>
      <xdr:rowOff>47624</xdr:rowOff>
    </xdr:from>
    <xdr:to>
      <xdr:col>25</xdr:col>
      <xdr:colOff>47625</xdr:colOff>
      <xdr:row>19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aveen%20Reddy/AppData/Local/Temp/Temp1_archive%20(2).zip/worldpopul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aveen%20Reddy/AppData/Local/Temp/Temp2_archive%20(5).zip/world_po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ld Population (2022) "/>
    </sheetNames>
    <sheetDataSet>
      <sheetData sheetId="0">
        <row r="2">
          <cell r="B2" t="str">
            <v>China</v>
          </cell>
          <cell r="C2">
            <v>-348399</v>
          </cell>
          <cell r="D2">
            <v>1.7</v>
          </cell>
          <cell r="E2">
            <v>38</v>
          </cell>
          <cell r="F2">
            <v>0.61</v>
          </cell>
        </row>
        <row r="3">
          <cell r="B3" t="str">
            <v>India</v>
          </cell>
          <cell r="C3">
            <v>-532687</v>
          </cell>
          <cell r="D3">
            <v>2.2000000000000002</v>
          </cell>
          <cell r="E3">
            <v>28</v>
          </cell>
          <cell r="F3">
            <v>0.35</v>
          </cell>
        </row>
        <row r="4">
          <cell r="B4" t="str">
            <v>United States</v>
          </cell>
          <cell r="C4">
            <v>954806</v>
          </cell>
          <cell r="D4">
            <v>1.8</v>
          </cell>
          <cell r="E4">
            <v>38</v>
          </cell>
          <cell r="F4">
            <v>0.83</v>
          </cell>
        </row>
        <row r="5">
          <cell r="B5" t="str">
            <v>Indonesia</v>
          </cell>
          <cell r="C5">
            <v>-98955</v>
          </cell>
          <cell r="D5">
            <v>2.2999999999999998</v>
          </cell>
          <cell r="E5">
            <v>30</v>
          </cell>
          <cell r="F5">
            <v>0.56000000000000005</v>
          </cell>
        </row>
        <row r="6">
          <cell r="B6" t="str">
            <v>Pakistan</v>
          </cell>
          <cell r="C6">
            <v>-233379</v>
          </cell>
          <cell r="D6">
            <v>3.6</v>
          </cell>
          <cell r="E6">
            <v>23</v>
          </cell>
          <cell r="F6">
            <v>0.35</v>
          </cell>
        </row>
        <row r="7">
          <cell r="B7" t="str">
            <v>Brazil</v>
          </cell>
          <cell r="C7">
            <v>21200</v>
          </cell>
          <cell r="D7">
            <v>1.7</v>
          </cell>
          <cell r="E7">
            <v>33</v>
          </cell>
          <cell r="F7">
            <v>0.88</v>
          </cell>
        </row>
        <row r="8">
          <cell r="B8" t="str">
            <v>Nigeria</v>
          </cell>
          <cell r="C8">
            <v>-60000</v>
          </cell>
          <cell r="D8">
            <v>5.4</v>
          </cell>
          <cell r="E8">
            <v>18</v>
          </cell>
          <cell r="F8">
            <v>0.52</v>
          </cell>
        </row>
        <row r="9">
          <cell r="B9" t="str">
            <v>Bangladesh</v>
          </cell>
          <cell r="C9">
            <v>-369501</v>
          </cell>
          <cell r="D9">
            <v>2.1</v>
          </cell>
          <cell r="E9">
            <v>28</v>
          </cell>
          <cell r="F9">
            <v>0.39</v>
          </cell>
        </row>
        <row r="10">
          <cell r="B10" t="str">
            <v>Russia</v>
          </cell>
          <cell r="C10">
            <v>182456</v>
          </cell>
          <cell r="D10">
            <v>1.8</v>
          </cell>
          <cell r="E10">
            <v>40</v>
          </cell>
          <cell r="F10">
            <v>0.74</v>
          </cell>
        </row>
        <row r="11">
          <cell r="B11" t="str">
            <v>Mexico</v>
          </cell>
          <cell r="C11">
            <v>-60000</v>
          </cell>
          <cell r="D11">
            <v>2.1</v>
          </cell>
          <cell r="E11">
            <v>29</v>
          </cell>
          <cell r="F11">
            <v>0.84</v>
          </cell>
        </row>
        <row r="12">
          <cell r="B12" t="str">
            <v>Japan</v>
          </cell>
          <cell r="C12">
            <v>71560</v>
          </cell>
          <cell r="D12">
            <v>1.4</v>
          </cell>
          <cell r="E12">
            <v>48</v>
          </cell>
          <cell r="F12">
            <v>0.92</v>
          </cell>
        </row>
        <row r="13">
          <cell r="B13" t="str">
            <v>Ethiopia</v>
          </cell>
          <cell r="C13">
            <v>30000</v>
          </cell>
          <cell r="D13">
            <v>4.3</v>
          </cell>
          <cell r="E13">
            <v>19</v>
          </cell>
          <cell r="F13">
            <v>0.21</v>
          </cell>
        </row>
        <row r="14">
          <cell r="B14" t="str">
            <v>Philippines</v>
          </cell>
          <cell r="C14">
            <v>-67152</v>
          </cell>
          <cell r="D14">
            <v>2.6</v>
          </cell>
          <cell r="E14">
            <v>26</v>
          </cell>
          <cell r="F14">
            <v>0.47</v>
          </cell>
        </row>
        <row r="15">
          <cell r="B15" t="str">
            <v>Egypt</v>
          </cell>
          <cell r="C15">
            <v>-38033</v>
          </cell>
          <cell r="D15">
            <v>3.3</v>
          </cell>
          <cell r="E15">
            <v>25</v>
          </cell>
          <cell r="F15">
            <v>0.43</v>
          </cell>
        </row>
        <row r="16">
          <cell r="B16" t="str">
            <v>Vietnam</v>
          </cell>
          <cell r="C16">
            <v>-80000</v>
          </cell>
          <cell r="D16">
            <v>2.1</v>
          </cell>
          <cell r="E16">
            <v>32</v>
          </cell>
          <cell r="F16">
            <v>0.38</v>
          </cell>
        </row>
        <row r="17">
          <cell r="B17" t="str">
            <v>DR Congo</v>
          </cell>
          <cell r="C17">
            <v>23861</v>
          </cell>
          <cell r="D17">
            <v>6</v>
          </cell>
          <cell r="E17">
            <v>17</v>
          </cell>
          <cell r="F17">
            <v>0.46</v>
          </cell>
        </row>
        <row r="18">
          <cell r="B18" t="str">
            <v>Turkey</v>
          </cell>
          <cell r="C18">
            <v>283922</v>
          </cell>
          <cell r="D18">
            <v>2.1</v>
          </cell>
          <cell r="E18">
            <v>32</v>
          </cell>
          <cell r="F18">
            <v>0.76</v>
          </cell>
        </row>
        <row r="19">
          <cell r="B19" t="str">
            <v>Iran</v>
          </cell>
          <cell r="C19">
            <v>-55000</v>
          </cell>
          <cell r="D19">
            <v>2.2000000000000002</v>
          </cell>
          <cell r="E19">
            <v>32</v>
          </cell>
          <cell r="F19">
            <v>0.76</v>
          </cell>
        </row>
        <row r="20">
          <cell r="B20" t="str">
            <v>Germany</v>
          </cell>
          <cell r="C20">
            <v>543822</v>
          </cell>
          <cell r="D20">
            <v>1.6</v>
          </cell>
          <cell r="E20">
            <v>46</v>
          </cell>
          <cell r="F20">
            <v>0.76</v>
          </cell>
        </row>
        <row r="21">
          <cell r="B21" t="str">
            <v>Thailand</v>
          </cell>
          <cell r="C21">
            <v>19444</v>
          </cell>
          <cell r="D21">
            <v>1.5</v>
          </cell>
          <cell r="E21">
            <v>40</v>
          </cell>
          <cell r="F21">
            <v>0.51</v>
          </cell>
        </row>
        <row r="22">
          <cell r="B22" t="str">
            <v>United Kingdom</v>
          </cell>
          <cell r="C22">
            <v>260650</v>
          </cell>
          <cell r="D22">
            <v>1.8</v>
          </cell>
          <cell r="E22">
            <v>40</v>
          </cell>
          <cell r="F22">
            <v>0.83</v>
          </cell>
        </row>
        <row r="23">
          <cell r="B23" t="str">
            <v>France</v>
          </cell>
          <cell r="C23">
            <v>36527</v>
          </cell>
          <cell r="D23">
            <v>1.9</v>
          </cell>
          <cell r="E23">
            <v>42</v>
          </cell>
          <cell r="F23">
            <v>0.82</v>
          </cell>
        </row>
        <row r="24">
          <cell r="B24" t="str">
            <v>Italy</v>
          </cell>
          <cell r="C24">
            <v>148943</v>
          </cell>
          <cell r="D24">
            <v>1.3</v>
          </cell>
          <cell r="E24">
            <v>47</v>
          </cell>
          <cell r="F24">
            <v>0.69</v>
          </cell>
        </row>
        <row r="25">
          <cell r="B25" t="str">
            <v>Tanzania</v>
          </cell>
          <cell r="C25">
            <v>-40076</v>
          </cell>
          <cell r="D25">
            <v>4.9000000000000004</v>
          </cell>
          <cell r="E25">
            <v>18</v>
          </cell>
          <cell r="F25">
            <v>0.37</v>
          </cell>
        </row>
        <row r="26">
          <cell r="B26" t="str">
            <v>South Africa</v>
          </cell>
          <cell r="C26">
            <v>145405</v>
          </cell>
          <cell r="D26">
            <v>2.4</v>
          </cell>
          <cell r="E26">
            <v>28</v>
          </cell>
          <cell r="F26">
            <v>0.67</v>
          </cell>
        </row>
        <row r="27">
          <cell r="B27" t="str">
            <v>Myanmar</v>
          </cell>
          <cell r="C27">
            <v>-163313</v>
          </cell>
          <cell r="D27">
            <v>2.2000000000000002</v>
          </cell>
          <cell r="E27">
            <v>29</v>
          </cell>
          <cell r="F27">
            <v>0.31</v>
          </cell>
        </row>
        <row r="28">
          <cell r="B28" t="str">
            <v>Kenya</v>
          </cell>
          <cell r="C28">
            <v>-10000</v>
          </cell>
          <cell r="D28">
            <v>3.5</v>
          </cell>
          <cell r="E28">
            <v>20</v>
          </cell>
          <cell r="F28">
            <v>0.28000000000000003</v>
          </cell>
        </row>
        <row r="29">
          <cell r="B29" t="str">
            <v>South Korea</v>
          </cell>
          <cell r="C29">
            <v>11731</v>
          </cell>
          <cell r="D29">
            <v>1.1000000000000001</v>
          </cell>
          <cell r="E29">
            <v>44</v>
          </cell>
          <cell r="F29">
            <v>0.82</v>
          </cell>
        </row>
        <row r="30">
          <cell r="B30" t="str">
            <v>Colombia</v>
          </cell>
          <cell r="C30">
            <v>204796</v>
          </cell>
          <cell r="D30">
            <v>1.8</v>
          </cell>
          <cell r="E30">
            <v>31</v>
          </cell>
          <cell r="F30">
            <v>0.8</v>
          </cell>
        </row>
        <row r="31">
          <cell r="B31" t="str">
            <v>Spain</v>
          </cell>
          <cell r="C31">
            <v>40000</v>
          </cell>
          <cell r="D31">
            <v>1.3</v>
          </cell>
          <cell r="E31">
            <v>45</v>
          </cell>
          <cell r="F31">
            <v>0.8</v>
          </cell>
        </row>
        <row r="32">
          <cell r="B32" t="str">
            <v>Uganda</v>
          </cell>
          <cell r="C32">
            <v>168694</v>
          </cell>
          <cell r="D32">
            <v>5</v>
          </cell>
          <cell r="E32">
            <v>17</v>
          </cell>
          <cell r="F32">
            <v>0.26</v>
          </cell>
        </row>
        <row r="33">
          <cell r="B33" t="str">
            <v>Argentina</v>
          </cell>
          <cell r="C33">
            <v>4800</v>
          </cell>
          <cell r="D33">
            <v>2.2999999999999998</v>
          </cell>
          <cell r="E33">
            <v>32</v>
          </cell>
          <cell r="F33">
            <v>0.93</v>
          </cell>
        </row>
        <row r="34">
          <cell r="B34" t="str">
            <v>Algeria</v>
          </cell>
          <cell r="C34">
            <v>-10000</v>
          </cell>
          <cell r="D34">
            <v>3.1</v>
          </cell>
          <cell r="E34">
            <v>29</v>
          </cell>
          <cell r="F34">
            <v>0.73</v>
          </cell>
        </row>
        <row r="35">
          <cell r="B35" t="str">
            <v>Sudan</v>
          </cell>
          <cell r="C35">
            <v>-50000</v>
          </cell>
          <cell r="D35">
            <v>4.4000000000000004</v>
          </cell>
          <cell r="E35">
            <v>20</v>
          </cell>
          <cell r="F35">
            <v>0.35</v>
          </cell>
        </row>
        <row r="36">
          <cell r="B36" t="str">
            <v>Ukraine</v>
          </cell>
          <cell r="C36">
            <v>10000</v>
          </cell>
          <cell r="D36">
            <v>1.4</v>
          </cell>
          <cell r="E36">
            <v>41</v>
          </cell>
          <cell r="F36">
            <v>0.69</v>
          </cell>
        </row>
        <row r="37">
          <cell r="B37" t="str">
            <v>Iraq</v>
          </cell>
          <cell r="C37">
            <v>7834</v>
          </cell>
          <cell r="D37">
            <v>3.7</v>
          </cell>
          <cell r="E37">
            <v>21</v>
          </cell>
          <cell r="F37">
            <v>0.73</v>
          </cell>
        </row>
        <row r="38">
          <cell r="B38" t="str">
            <v>Afghanistan</v>
          </cell>
          <cell r="C38">
            <v>-62920</v>
          </cell>
          <cell r="D38">
            <v>4.5999999999999996</v>
          </cell>
          <cell r="E38">
            <v>18</v>
          </cell>
          <cell r="F38">
            <v>0.25</v>
          </cell>
        </row>
        <row r="39">
          <cell r="B39" t="str">
            <v>Poland</v>
          </cell>
          <cell r="C39">
            <v>-29395</v>
          </cell>
          <cell r="D39">
            <v>1.4</v>
          </cell>
          <cell r="E39">
            <v>42</v>
          </cell>
          <cell r="F39">
            <v>0.6</v>
          </cell>
        </row>
        <row r="40">
          <cell r="B40" t="str">
            <v>Canada</v>
          </cell>
          <cell r="C40">
            <v>242032</v>
          </cell>
          <cell r="D40">
            <v>1.5</v>
          </cell>
          <cell r="E40">
            <v>41</v>
          </cell>
          <cell r="F40">
            <v>0.81</v>
          </cell>
        </row>
        <row r="41">
          <cell r="B41" t="str">
            <v>Morocco</v>
          </cell>
          <cell r="C41">
            <v>-51419</v>
          </cell>
          <cell r="D41">
            <v>2.4</v>
          </cell>
          <cell r="E41">
            <v>30</v>
          </cell>
          <cell r="F41">
            <v>0.64</v>
          </cell>
        </row>
        <row r="42">
          <cell r="B42" t="str">
            <v>Saudi Arabia</v>
          </cell>
          <cell r="C42">
            <v>134979</v>
          </cell>
          <cell r="D42">
            <v>2.2999999999999998</v>
          </cell>
          <cell r="E42">
            <v>32</v>
          </cell>
          <cell r="F42">
            <v>0.84</v>
          </cell>
        </row>
        <row r="43">
          <cell r="B43" t="str">
            <v>Uzbekistan</v>
          </cell>
          <cell r="C43">
            <v>-8863</v>
          </cell>
          <cell r="D43">
            <v>2.4</v>
          </cell>
          <cell r="E43">
            <v>28</v>
          </cell>
          <cell r="F43">
            <v>0.5</v>
          </cell>
        </row>
        <row r="44">
          <cell r="B44" t="str">
            <v>Peru</v>
          </cell>
          <cell r="C44">
            <v>99069</v>
          </cell>
          <cell r="D44">
            <v>2.2999999999999998</v>
          </cell>
          <cell r="E44">
            <v>31</v>
          </cell>
          <cell r="F44">
            <v>0.79</v>
          </cell>
        </row>
        <row r="45">
          <cell r="B45" t="str">
            <v>Angola</v>
          </cell>
          <cell r="C45">
            <v>6413</v>
          </cell>
          <cell r="D45">
            <v>5.6</v>
          </cell>
          <cell r="E45">
            <v>17</v>
          </cell>
          <cell r="F45">
            <v>0.67</v>
          </cell>
        </row>
        <row r="46">
          <cell r="B46" t="str">
            <v>Malaysia</v>
          </cell>
          <cell r="C46">
            <v>50000</v>
          </cell>
          <cell r="D46">
            <v>2</v>
          </cell>
          <cell r="E46">
            <v>30</v>
          </cell>
          <cell r="F46">
            <v>0.78</v>
          </cell>
        </row>
        <row r="47">
          <cell r="B47" t="str">
            <v>Mozambique</v>
          </cell>
          <cell r="C47">
            <v>-5000</v>
          </cell>
          <cell r="D47">
            <v>4.9000000000000004</v>
          </cell>
          <cell r="E47">
            <v>18</v>
          </cell>
          <cell r="F47">
            <v>0.38</v>
          </cell>
        </row>
        <row r="48">
          <cell r="B48" t="str">
            <v>Ghana</v>
          </cell>
          <cell r="C48">
            <v>-10000</v>
          </cell>
          <cell r="D48">
            <v>3.9</v>
          </cell>
          <cell r="E48">
            <v>22</v>
          </cell>
          <cell r="F48">
            <v>0.56999999999999995</v>
          </cell>
        </row>
        <row r="49">
          <cell r="B49" t="str">
            <v>Yemen</v>
          </cell>
          <cell r="C49">
            <v>-30000</v>
          </cell>
          <cell r="D49">
            <v>3.8</v>
          </cell>
          <cell r="E49">
            <v>20</v>
          </cell>
          <cell r="F49">
            <v>0.38</v>
          </cell>
        </row>
        <row r="50">
          <cell r="B50" t="str">
            <v>Nepal</v>
          </cell>
          <cell r="C50">
            <v>41710</v>
          </cell>
          <cell r="D50">
            <v>1.9</v>
          </cell>
          <cell r="E50">
            <v>25</v>
          </cell>
          <cell r="F50">
            <v>0.21</v>
          </cell>
        </row>
        <row r="51">
          <cell r="B51" t="str">
            <v>Venezuela</v>
          </cell>
          <cell r="C51">
            <v>-653249</v>
          </cell>
          <cell r="D51">
            <v>2.2999999999999998</v>
          </cell>
          <cell r="E51">
            <v>30</v>
          </cell>
          <cell r="F51" t="str">
            <v>N.A.</v>
          </cell>
        </row>
        <row r="52">
          <cell r="B52" t="str">
            <v>Madagascar</v>
          </cell>
          <cell r="C52">
            <v>-1500</v>
          </cell>
          <cell r="D52">
            <v>4.0999999999999996</v>
          </cell>
          <cell r="E52">
            <v>20</v>
          </cell>
          <cell r="F52">
            <v>0.39</v>
          </cell>
        </row>
        <row r="53">
          <cell r="B53" t="str">
            <v>Cameroon</v>
          </cell>
          <cell r="C53">
            <v>-4800</v>
          </cell>
          <cell r="D53">
            <v>4.5999999999999996</v>
          </cell>
          <cell r="E53">
            <v>19</v>
          </cell>
          <cell r="F53">
            <v>0.56000000000000005</v>
          </cell>
        </row>
        <row r="54">
          <cell r="B54" t="str">
            <v>Côte d'Ivoire</v>
          </cell>
          <cell r="C54">
            <v>-8000</v>
          </cell>
          <cell r="D54">
            <v>4.7</v>
          </cell>
          <cell r="E54">
            <v>19</v>
          </cell>
          <cell r="F54">
            <v>0.51</v>
          </cell>
        </row>
        <row r="55">
          <cell r="B55" t="str">
            <v>North Korea</v>
          </cell>
          <cell r="C55">
            <v>-5403</v>
          </cell>
          <cell r="D55">
            <v>1.9</v>
          </cell>
          <cell r="E55">
            <v>35</v>
          </cell>
          <cell r="F55">
            <v>0.63</v>
          </cell>
        </row>
        <row r="56">
          <cell r="B56" t="str">
            <v>Australia</v>
          </cell>
          <cell r="C56">
            <v>158246</v>
          </cell>
          <cell r="D56">
            <v>1.8</v>
          </cell>
          <cell r="E56">
            <v>38</v>
          </cell>
          <cell r="F56">
            <v>0.86</v>
          </cell>
        </row>
        <row r="57">
          <cell r="B57" t="str">
            <v>Niger</v>
          </cell>
          <cell r="C57">
            <v>4000</v>
          </cell>
          <cell r="D57">
            <v>7</v>
          </cell>
          <cell r="E57">
            <v>15</v>
          </cell>
          <cell r="F57">
            <v>0.17</v>
          </cell>
        </row>
        <row r="58">
          <cell r="B58" t="str">
            <v>Taiwan</v>
          </cell>
          <cell r="C58">
            <v>30001</v>
          </cell>
          <cell r="D58">
            <v>1.2</v>
          </cell>
          <cell r="E58">
            <v>42</v>
          </cell>
          <cell r="F58">
            <v>0.79</v>
          </cell>
        </row>
        <row r="59">
          <cell r="B59" t="str">
            <v>Sri Lanka</v>
          </cell>
          <cell r="C59">
            <v>-97986</v>
          </cell>
          <cell r="D59">
            <v>2.2000000000000002</v>
          </cell>
          <cell r="E59">
            <v>34</v>
          </cell>
          <cell r="F59">
            <v>0.18</v>
          </cell>
        </row>
        <row r="60">
          <cell r="B60" t="str">
            <v>Burkina Faso</v>
          </cell>
          <cell r="C60">
            <v>-25000</v>
          </cell>
          <cell r="D60">
            <v>5.2</v>
          </cell>
          <cell r="E60">
            <v>18</v>
          </cell>
          <cell r="F60">
            <v>0.31</v>
          </cell>
        </row>
        <row r="61">
          <cell r="B61" t="str">
            <v>Mali</v>
          </cell>
          <cell r="C61">
            <v>-40000</v>
          </cell>
          <cell r="D61">
            <v>5.9</v>
          </cell>
          <cell r="E61">
            <v>16</v>
          </cell>
          <cell r="F61">
            <v>0.44</v>
          </cell>
        </row>
        <row r="62">
          <cell r="B62" t="str">
            <v>Romania</v>
          </cell>
          <cell r="C62">
            <v>-73999</v>
          </cell>
          <cell r="D62">
            <v>1.6</v>
          </cell>
          <cell r="E62">
            <v>43</v>
          </cell>
          <cell r="F62">
            <v>0.55000000000000004</v>
          </cell>
        </row>
        <row r="63">
          <cell r="B63" t="str">
            <v>Malawi</v>
          </cell>
          <cell r="C63">
            <v>-16053</v>
          </cell>
          <cell r="D63">
            <v>4.3</v>
          </cell>
          <cell r="E63">
            <v>18</v>
          </cell>
          <cell r="F63">
            <v>0.18</v>
          </cell>
        </row>
        <row r="64">
          <cell r="B64" t="str">
            <v>Chile</v>
          </cell>
          <cell r="C64">
            <v>111708</v>
          </cell>
          <cell r="D64">
            <v>1.7</v>
          </cell>
          <cell r="E64">
            <v>35</v>
          </cell>
          <cell r="F64">
            <v>0.85</v>
          </cell>
        </row>
        <row r="65">
          <cell r="B65" t="str">
            <v>Kazakhstan</v>
          </cell>
          <cell r="C65">
            <v>-18000</v>
          </cell>
          <cell r="D65">
            <v>2.8</v>
          </cell>
          <cell r="E65">
            <v>31</v>
          </cell>
          <cell r="F65">
            <v>0.57999999999999996</v>
          </cell>
        </row>
        <row r="66">
          <cell r="B66" t="str">
            <v>Zambia</v>
          </cell>
          <cell r="C66">
            <v>-8000</v>
          </cell>
          <cell r="D66">
            <v>4.7</v>
          </cell>
          <cell r="E66">
            <v>18</v>
          </cell>
          <cell r="F66">
            <v>0.45</v>
          </cell>
        </row>
        <row r="67">
          <cell r="B67" t="str">
            <v>Guatemala</v>
          </cell>
          <cell r="C67">
            <v>-9215</v>
          </cell>
          <cell r="D67">
            <v>2.9</v>
          </cell>
          <cell r="E67">
            <v>23</v>
          </cell>
          <cell r="F67">
            <v>0.52</v>
          </cell>
        </row>
        <row r="68">
          <cell r="B68" t="str">
            <v>Ecuador</v>
          </cell>
          <cell r="C68">
            <v>36400</v>
          </cell>
          <cell r="D68">
            <v>2.4</v>
          </cell>
          <cell r="E68">
            <v>28</v>
          </cell>
          <cell r="F68">
            <v>0.63</v>
          </cell>
        </row>
        <row r="69">
          <cell r="B69" t="str">
            <v>Syria</v>
          </cell>
          <cell r="C69">
            <v>-427391</v>
          </cell>
          <cell r="D69">
            <v>2.8</v>
          </cell>
          <cell r="E69">
            <v>26</v>
          </cell>
          <cell r="F69">
            <v>0.6</v>
          </cell>
        </row>
        <row r="70">
          <cell r="B70" t="str">
            <v>Netherlands</v>
          </cell>
          <cell r="C70">
            <v>16000</v>
          </cell>
          <cell r="D70">
            <v>1.7</v>
          </cell>
          <cell r="E70">
            <v>43</v>
          </cell>
          <cell r="F70">
            <v>0.92</v>
          </cell>
        </row>
        <row r="71">
          <cell r="B71" t="str">
            <v>Senegal</v>
          </cell>
          <cell r="C71">
            <v>-20000</v>
          </cell>
          <cell r="D71">
            <v>4.7</v>
          </cell>
          <cell r="E71">
            <v>19</v>
          </cell>
          <cell r="F71">
            <v>0.49</v>
          </cell>
        </row>
        <row r="72">
          <cell r="B72" t="str">
            <v>Cambodia</v>
          </cell>
          <cell r="C72">
            <v>-30000</v>
          </cell>
          <cell r="D72">
            <v>2.5</v>
          </cell>
          <cell r="E72">
            <v>26</v>
          </cell>
          <cell r="F72">
            <v>0.24</v>
          </cell>
        </row>
        <row r="73">
          <cell r="B73" t="str">
            <v>Chad</v>
          </cell>
          <cell r="C73">
            <v>2000</v>
          </cell>
          <cell r="D73">
            <v>5.8</v>
          </cell>
          <cell r="E73">
            <v>17</v>
          </cell>
          <cell r="F73">
            <v>0.23</v>
          </cell>
        </row>
        <row r="74">
          <cell r="B74" t="str">
            <v>Somalia</v>
          </cell>
          <cell r="C74">
            <v>-40000</v>
          </cell>
          <cell r="D74">
            <v>6.1</v>
          </cell>
          <cell r="E74">
            <v>17</v>
          </cell>
          <cell r="F74">
            <v>0.47</v>
          </cell>
        </row>
        <row r="75">
          <cell r="B75" t="str">
            <v>Zimbabwe</v>
          </cell>
          <cell r="C75">
            <v>-116858</v>
          </cell>
          <cell r="D75">
            <v>3.6</v>
          </cell>
          <cell r="E75">
            <v>19</v>
          </cell>
          <cell r="F75">
            <v>0.38</v>
          </cell>
        </row>
        <row r="76">
          <cell r="B76" t="str">
            <v>Guinea</v>
          </cell>
          <cell r="C76">
            <v>-4000</v>
          </cell>
          <cell r="D76">
            <v>4.7</v>
          </cell>
          <cell r="E76">
            <v>18</v>
          </cell>
          <cell r="F76">
            <v>0.39</v>
          </cell>
        </row>
        <row r="77">
          <cell r="B77" t="str">
            <v>Rwanda</v>
          </cell>
          <cell r="C77">
            <v>-9000</v>
          </cell>
          <cell r="D77">
            <v>4.0999999999999996</v>
          </cell>
          <cell r="E77">
            <v>20</v>
          </cell>
          <cell r="F77">
            <v>0.18</v>
          </cell>
        </row>
        <row r="78">
          <cell r="B78" t="str">
            <v>Benin</v>
          </cell>
          <cell r="C78">
            <v>-2000</v>
          </cell>
          <cell r="D78">
            <v>4.9000000000000004</v>
          </cell>
          <cell r="E78">
            <v>19</v>
          </cell>
          <cell r="F78">
            <v>0.48</v>
          </cell>
        </row>
        <row r="79">
          <cell r="B79" t="str">
            <v>Burundi</v>
          </cell>
          <cell r="C79">
            <v>2001</v>
          </cell>
          <cell r="D79">
            <v>5.5</v>
          </cell>
          <cell r="E79">
            <v>17</v>
          </cell>
          <cell r="F79">
            <v>0.14000000000000001</v>
          </cell>
        </row>
        <row r="80">
          <cell r="B80" t="str">
            <v>Tunisia</v>
          </cell>
          <cell r="C80">
            <v>-4000</v>
          </cell>
          <cell r="D80">
            <v>2.2000000000000002</v>
          </cell>
          <cell r="E80">
            <v>33</v>
          </cell>
          <cell r="F80">
            <v>0.7</v>
          </cell>
        </row>
        <row r="81">
          <cell r="B81" t="str">
            <v>Bolivia</v>
          </cell>
          <cell r="C81">
            <v>-9504</v>
          </cell>
          <cell r="D81">
            <v>2.8</v>
          </cell>
          <cell r="E81">
            <v>26</v>
          </cell>
          <cell r="F81">
            <v>0.69</v>
          </cell>
        </row>
        <row r="82">
          <cell r="B82" t="str">
            <v>Belgium</v>
          </cell>
          <cell r="C82">
            <v>48000</v>
          </cell>
          <cell r="D82">
            <v>1.7</v>
          </cell>
          <cell r="E82">
            <v>42</v>
          </cell>
          <cell r="F82">
            <v>0.98</v>
          </cell>
        </row>
        <row r="83">
          <cell r="B83" t="str">
            <v>Haiti</v>
          </cell>
          <cell r="C83">
            <v>-35000</v>
          </cell>
          <cell r="D83">
            <v>3</v>
          </cell>
          <cell r="E83">
            <v>24</v>
          </cell>
          <cell r="F83">
            <v>0.56999999999999995</v>
          </cell>
        </row>
        <row r="84">
          <cell r="B84" t="str">
            <v>Cuba</v>
          </cell>
          <cell r="C84">
            <v>-14400</v>
          </cell>
          <cell r="D84">
            <v>1.6</v>
          </cell>
          <cell r="E84">
            <v>42</v>
          </cell>
          <cell r="F84">
            <v>0.78</v>
          </cell>
        </row>
        <row r="85">
          <cell r="B85" t="str">
            <v>South Sudan</v>
          </cell>
          <cell r="C85">
            <v>-174200</v>
          </cell>
          <cell r="D85">
            <v>4.7</v>
          </cell>
          <cell r="E85">
            <v>19</v>
          </cell>
          <cell r="F85">
            <v>0.25</v>
          </cell>
        </row>
        <row r="86">
          <cell r="B86" t="str">
            <v>Dominican Republic</v>
          </cell>
          <cell r="C86">
            <v>-30000</v>
          </cell>
          <cell r="D86">
            <v>2.4</v>
          </cell>
          <cell r="E86">
            <v>28</v>
          </cell>
          <cell r="F86">
            <v>0.85</v>
          </cell>
        </row>
        <row r="87">
          <cell r="B87" t="str">
            <v>Czech Republic (Czechia)</v>
          </cell>
          <cell r="C87">
            <v>22011</v>
          </cell>
          <cell r="D87">
            <v>1.6</v>
          </cell>
          <cell r="E87">
            <v>43</v>
          </cell>
          <cell r="F87">
            <v>0.74</v>
          </cell>
        </row>
        <row r="88">
          <cell r="B88" t="str">
            <v>Greece</v>
          </cell>
          <cell r="C88">
            <v>-16000</v>
          </cell>
          <cell r="D88">
            <v>1.3</v>
          </cell>
          <cell r="E88">
            <v>46</v>
          </cell>
          <cell r="F88">
            <v>0.85</v>
          </cell>
        </row>
        <row r="89">
          <cell r="B89" t="str">
            <v>Jordan</v>
          </cell>
          <cell r="C89">
            <v>10220</v>
          </cell>
          <cell r="D89">
            <v>2.8</v>
          </cell>
          <cell r="E89">
            <v>24</v>
          </cell>
          <cell r="F89">
            <v>0.91</v>
          </cell>
        </row>
        <row r="90">
          <cell r="B90" t="str">
            <v>Portugal</v>
          </cell>
          <cell r="C90">
            <v>-6000</v>
          </cell>
          <cell r="D90">
            <v>1.3</v>
          </cell>
          <cell r="E90">
            <v>46</v>
          </cell>
          <cell r="F90">
            <v>0.66</v>
          </cell>
        </row>
        <row r="91">
          <cell r="B91" t="str">
            <v>Azerbaijan</v>
          </cell>
          <cell r="C91">
            <v>1200</v>
          </cell>
          <cell r="D91">
            <v>2.1</v>
          </cell>
          <cell r="E91">
            <v>32</v>
          </cell>
          <cell r="F91">
            <v>0.56000000000000005</v>
          </cell>
        </row>
        <row r="92">
          <cell r="B92" t="str">
            <v>Sweden</v>
          </cell>
          <cell r="C92">
            <v>40000</v>
          </cell>
          <cell r="D92">
            <v>1.9</v>
          </cell>
          <cell r="E92">
            <v>41</v>
          </cell>
          <cell r="F92">
            <v>0.88</v>
          </cell>
        </row>
        <row r="93">
          <cell r="B93" t="str">
            <v>Honduras</v>
          </cell>
          <cell r="C93">
            <v>-6800</v>
          </cell>
          <cell r="D93">
            <v>2.5</v>
          </cell>
          <cell r="E93">
            <v>24</v>
          </cell>
          <cell r="F93">
            <v>0.56999999999999995</v>
          </cell>
        </row>
        <row r="94">
          <cell r="B94" t="str">
            <v>United Arab Emirates</v>
          </cell>
          <cell r="C94">
            <v>40000</v>
          </cell>
          <cell r="D94">
            <v>1.4</v>
          </cell>
          <cell r="E94">
            <v>33</v>
          </cell>
          <cell r="F94">
            <v>0.86</v>
          </cell>
        </row>
        <row r="95">
          <cell r="B95" t="str">
            <v>Hungary</v>
          </cell>
          <cell r="C95">
            <v>6000</v>
          </cell>
          <cell r="D95">
            <v>1.5</v>
          </cell>
          <cell r="E95">
            <v>43</v>
          </cell>
          <cell r="F95">
            <v>0.72</v>
          </cell>
        </row>
        <row r="96">
          <cell r="B96" t="str">
            <v>Tajikistan</v>
          </cell>
          <cell r="C96">
            <v>-20000</v>
          </cell>
          <cell r="D96">
            <v>3.6</v>
          </cell>
          <cell r="E96">
            <v>22</v>
          </cell>
          <cell r="F96">
            <v>0.27</v>
          </cell>
        </row>
        <row r="97">
          <cell r="B97" t="str">
            <v>Belarus</v>
          </cell>
          <cell r="C97">
            <v>8730</v>
          </cell>
          <cell r="D97">
            <v>1.7</v>
          </cell>
          <cell r="E97">
            <v>40</v>
          </cell>
          <cell r="F97">
            <v>0.79</v>
          </cell>
        </row>
        <row r="98">
          <cell r="B98" t="str">
            <v>Austria</v>
          </cell>
          <cell r="C98">
            <v>65000</v>
          </cell>
          <cell r="D98">
            <v>1.5</v>
          </cell>
          <cell r="E98">
            <v>43</v>
          </cell>
          <cell r="F98">
            <v>0.56999999999999995</v>
          </cell>
        </row>
        <row r="99">
          <cell r="B99" t="str">
            <v>Papua New Guinea</v>
          </cell>
          <cell r="C99">
            <v>-800</v>
          </cell>
          <cell r="D99">
            <v>3.6</v>
          </cell>
          <cell r="E99">
            <v>22</v>
          </cell>
          <cell r="F99">
            <v>0.13</v>
          </cell>
        </row>
        <row r="100">
          <cell r="B100" t="str">
            <v>Serbia</v>
          </cell>
          <cell r="C100">
            <v>4000</v>
          </cell>
          <cell r="D100">
            <v>1.5</v>
          </cell>
          <cell r="E100">
            <v>42</v>
          </cell>
          <cell r="F100">
            <v>0.56000000000000005</v>
          </cell>
        </row>
        <row r="101">
          <cell r="B101" t="str">
            <v>Israel</v>
          </cell>
          <cell r="C101">
            <v>10000</v>
          </cell>
          <cell r="D101">
            <v>3</v>
          </cell>
          <cell r="E101">
            <v>30</v>
          </cell>
          <cell r="F101">
            <v>0.93</v>
          </cell>
        </row>
        <row r="102">
          <cell r="B102" t="str">
            <v>Switzerland</v>
          </cell>
          <cell r="C102">
            <v>52000</v>
          </cell>
          <cell r="D102">
            <v>1.5</v>
          </cell>
          <cell r="E102">
            <v>43</v>
          </cell>
          <cell r="F102">
            <v>0.74</v>
          </cell>
        </row>
        <row r="103">
          <cell r="B103" t="str">
            <v>Togo</v>
          </cell>
          <cell r="C103">
            <v>-2000</v>
          </cell>
          <cell r="D103">
            <v>4.4000000000000004</v>
          </cell>
          <cell r="E103">
            <v>19</v>
          </cell>
          <cell r="F103">
            <v>0.43</v>
          </cell>
        </row>
        <row r="104">
          <cell r="B104" t="str">
            <v>Sierra Leone</v>
          </cell>
          <cell r="C104">
            <v>-4200</v>
          </cell>
          <cell r="D104">
            <v>4.3</v>
          </cell>
          <cell r="E104">
            <v>19</v>
          </cell>
          <cell r="F104">
            <v>0.43</v>
          </cell>
        </row>
        <row r="105">
          <cell r="B105" t="str">
            <v>Hong Kong</v>
          </cell>
          <cell r="C105">
            <v>29308</v>
          </cell>
          <cell r="D105">
            <v>1.3</v>
          </cell>
          <cell r="E105">
            <v>45</v>
          </cell>
          <cell r="F105" t="str">
            <v>N.A.</v>
          </cell>
        </row>
        <row r="106">
          <cell r="B106" t="str">
            <v>Laos</v>
          </cell>
          <cell r="C106">
            <v>-14704</v>
          </cell>
          <cell r="D106">
            <v>2.7</v>
          </cell>
          <cell r="E106">
            <v>24</v>
          </cell>
          <cell r="F106">
            <v>0.36</v>
          </cell>
        </row>
        <row r="107">
          <cell r="B107" t="str">
            <v>Paraguay</v>
          </cell>
          <cell r="C107">
            <v>-16556</v>
          </cell>
          <cell r="D107">
            <v>2.4</v>
          </cell>
          <cell r="E107">
            <v>26</v>
          </cell>
          <cell r="F107">
            <v>0.62</v>
          </cell>
        </row>
        <row r="108">
          <cell r="B108" t="str">
            <v>Bulgaria</v>
          </cell>
          <cell r="C108">
            <v>-4800</v>
          </cell>
          <cell r="D108">
            <v>1.6</v>
          </cell>
          <cell r="E108">
            <v>45</v>
          </cell>
          <cell r="F108">
            <v>0.76</v>
          </cell>
        </row>
        <row r="109">
          <cell r="B109" t="str">
            <v>Libya</v>
          </cell>
          <cell r="C109">
            <v>-1999</v>
          </cell>
          <cell r="D109">
            <v>2.2999999999999998</v>
          </cell>
          <cell r="E109">
            <v>29</v>
          </cell>
          <cell r="F109">
            <v>0.78</v>
          </cell>
        </row>
        <row r="110">
          <cell r="B110" t="str">
            <v>Lebanon</v>
          </cell>
          <cell r="C110">
            <v>-30012</v>
          </cell>
          <cell r="D110">
            <v>2.1</v>
          </cell>
          <cell r="E110">
            <v>30</v>
          </cell>
          <cell r="F110">
            <v>0.78</v>
          </cell>
        </row>
        <row r="111">
          <cell r="B111" t="str">
            <v>Nicaragua</v>
          </cell>
          <cell r="C111">
            <v>-21272</v>
          </cell>
          <cell r="D111">
            <v>2.4</v>
          </cell>
          <cell r="E111">
            <v>26</v>
          </cell>
          <cell r="F111">
            <v>0.56999999999999995</v>
          </cell>
        </row>
        <row r="112">
          <cell r="B112" t="str">
            <v>Kyrgyzstan</v>
          </cell>
          <cell r="C112">
            <v>-4000</v>
          </cell>
          <cell r="D112">
            <v>3</v>
          </cell>
          <cell r="E112">
            <v>26</v>
          </cell>
          <cell r="F112">
            <v>0.36</v>
          </cell>
        </row>
        <row r="113">
          <cell r="B113" t="str">
            <v>El Salvador</v>
          </cell>
          <cell r="C113">
            <v>-40539</v>
          </cell>
          <cell r="D113">
            <v>2.1</v>
          </cell>
          <cell r="E113">
            <v>28</v>
          </cell>
          <cell r="F113">
            <v>0.73</v>
          </cell>
        </row>
        <row r="114">
          <cell r="B114" t="str">
            <v>Turkmenistan</v>
          </cell>
          <cell r="C114">
            <v>-5000</v>
          </cell>
          <cell r="D114">
            <v>2.8</v>
          </cell>
          <cell r="E114">
            <v>27</v>
          </cell>
          <cell r="F114">
            <v>0.53</v>
          </cell>
        </row>
        <row r="115">
          <cell r="B115" t="str">
            <v>Singapore</v>
          </cell>
          <cell r="C115">
            <v>27028</v>
          </cell>
          <cell r="D115">
            <v>1.2</v>
          </cell>
          <cell r="E115">
            <v>42</v>
          </cell>
          <cell r="F115" t="str">
            <v>N.A.</v>
          </cell>
        </row>
        <row r="116">
          <cell r="B116" t="str">
            <v>Denmark</v>
          </cell>
          <cell r="C116">
            <v>15200</v>
          </cell>
          <cell r="D116">
            <v>1.8</v>
          </cell>
          <cell r="E116">
            <v>42</v>
          </cell>
          <cell r="F116">
            <v>0.88</v>
          </cell>
        </row>
        <row r="117">
          <cell r="B117" t="str">
            <v>Finland</v>
          </cell>
          <cell r="C117">
            <v>14000</v>
          </cell>
          <cell r="D117">
            <v>1.5</v>
          </cell>
          <cell r="E117">
            <v>43</v>
          </cell>
          <cell r="F117">
            <v>0.86</v>
          </cell>
        </row>
        <row r="118">
          <cell r="B118" t="str">
            <v>Congo</v>
          </cell>
          <cell r="C118">
            <v>-4000</v>
          </cell>
          <cell r="D118">
            <v>4.5</v>
          </cell>
          <cell r="E118">
            <v>19</v>
          </cell>
          <cell r="F118">
            <v>0.7</v>
          </cell>
        </row>
        <row r="119">
          <cell r="B119" t="str">
            <v>Slovakia</v>
          </cell>
          <cell r="C119">
            <v>1485</v>
          </cell>
          <cell r="D119">
            <v>1.5</v>
          </cell>
          <cell r="E119">
            <v>41</v>
          </cell>
          <cell r="F119">
            <v>0.54</v>
          </cell>
        </row>
        <row r="120">
          <cell r="B120" t="str">
            <v>Norway</v>
          </cell>
          <cell r="C120">
            <v>28000</v>
          </cell>
          <cell r="D120">
            <v>1.7</v>
          </cell>
          <cell r="E120">
            <v>40</v>
          </cell>
          <cell r="F120">
            <v>0.83</v>
          </cell>
        </row>
        <row r="121">
          <cell r="B121" t="str">
            <v>Oman</v>
          </cell>
          <cell r="C121">
            <v>87400</v>
          </cell>
          <cell r="D121">
            <v>2.9</v>
          </cell>
          <cell r="E121">
            <v>31</v>
          </cell>
          <cell r="F121">
            <v>0.87</v>
          </cell>
        </row>
        <row r="122">
          <cell r="B122" t="str">
            <v>State of Palestine</v>
          </cell>
          <cell r="C122">
            <v>-10563</v>
          </cell>
          <cell r="D122">
            <v>3.7</v>
          </cell>
          <cell r="E122">
            <v>21</v>
          </cell>
          <cell r="F122">
            <v>0.8</v>
          </cell>
        </row>
        <row r="123">
          <cell r="B123" t="str">
            <v>Costa Rica</v>
          </cell>
          <cell r="C123">
            <v>4200</v>
          </cell>
          <cell r="D123">
            <v>1.8</v>
          </cell>
          <cell r="E123">
            <v>33</v>
          </cell>
          <cell r="F123">
            <v>0.8</v>
          </cell>
        </row>
        <row r="124">
          <cell r="B124" t="str">
            <v>Liberia</v>
          </cell>
          <cell r="C124">
            <v>-5000</v>
          </cell>
          <cell r="D124">
            <v>4.4000000000000004</v>
          </cell>
          <cell r="E124">
            <v>19</v>
          </cell>
          <cell r="F124">
            <v>0.53</v>
          </cell>
        </row>
        <row r="125">
          <cell r="B125" t="str">
            <v>Ireland</v>
          </cell>
          <cell r="C125">
            <v>23604</v>
          </cell>
          <cell r="D125">
            <v>1.8</v>
          </cell>
          <cell r="E125">
            <v>38</v>
          </cell>
          <cell r="F125">
            <v>0.63</v>
          </cell>
        </row>
        <row r="126">
          <cell r="B126" t="str">
            <v>Central African Republic</v>
          </cell>
          <cell r="C126">
            <v>-40000</v>
          </cell>
          <cell r="D126">
            <v>4.8</v>
          </cell>
          <cell r="E126">
            <v>18</v>
          </cell>
          <cell r="F126">
            <v>0.43</v>
          </cell>
        </row>
        <row r="127">
          <cell r="B127" t="str">
            <v>New Zealand</v>
          </cell>
          <cell r="C127">
            <v>14881</v>
          </cell>
          <cell r="D127">
            <v>1.9</v>
          </cell>
          <cell r="E127">
            <v>38</v>
          </cell>
          <cell r="F127">
            <v>0.87</v>
          </cell>
        </row>
        <row r="128">
          <cell r="B128" t="str">
            <v>Mauritania</v>
          </cell>
          <cell r="C128">
            <v>5000</v>
          </cell>
          <cell r="D128">
            <v>4.5999999999999996</v>
          </cell>
          <cell r="E128">
            <v>20</v>
          </cell>
          <cell r="F128">
            <v>0.56999999999999995</v>
          </cell>
        </row>
        <row r="129">
          <cell r="B129" t="str">
            <v>Panama</v>
          </cell>
          <cell r="C129">
            <v>11200</v>
          </cell>
          <cell r="D129">
            <v>2.5</v>
          </cell>
          <cell r="E129">
            <v>30</v>
          </cell>
          <cell r="F129">
            <v>0.68</v>
          </cell>
        </row>
        <row r="130">
          <cell r="B130" t="str">
            <v>Kuwait</v>
          </cell>
          <cell r="C130">
            <v>39520</v>
          </cell>
          <cell r="D130">
            <v>2.1</v>
          </cell>
          <cell r="E130">
            <v>37</v>
          </cell>
          <cell r="F130" t="str">
            <v>N.A.</v>
          </cell>
        </row>
        <row r="131">
          <cell r="B131" t="str">
            <v>Croatia</v>
          </cell>
          <cell r="C131">
            <v>-8001</v>
          </cell>
          <cell r="D131">
            <v>1.4</v>
          </cell>
          <cell r="E131">
            <v>44</v>
          </cell>
          <cell r="F131">
            <v>0.57999999999999996</v>
          </cell>
        </row>
        <row r="132">
          <cell r="B132" t="str">
            <v>Moldova</v>
          </cell>
          <cell r="C132">
            <v>-1387</v>
          </cell>
          <cell r="D132">
            <v>1.3</v>
          </cell>
          <cell r="E132">
            <v>38</v>
          </cell>
          <cell r="F132">
            <v>0.43</v>
          </cell>
        </row>
        <row r="133">
          <cell r="B133" t="str">
            <v>Georgia</v>
          </cell>
          <cell r="C133">
            <v>-10000</v>
          </cell>
          <cell r="D133">
            <v>2.1</v>
          </cell>
          <cell r="E133">
            <v>38</v>
          </cell>
          <cell r="F133">
            <v>0.57999999999999996</v>
          </cell>
        </row>
        <row r="134">
          <cell r="B134" t="str">
            <v>Eritrea</v>
          </cell>
          <cell r="C134">
            <v>-39858</v>
          </cell>
          <cell r="D134">
            <v>4.0999999999999996</v>
          </cell>
          <cell r="E134">
            <v>19</v>
          </cell>
          <cell r="F134">
            <v>0.63</v>
          </cell>
        </row>
        <row r="135">
          <cell r="B135" t="str">
            <v>Uruguay</v>
          </cell>
          <cell r="C135">
            <v>-3000</v>
          </cell>
          <cell r="D135">
            <v>2</v>
          </cell>
          <cell r="E135">
            <v>36</v>
          </cell>
          <cell r="F135">
            <v>0.96</v>
          </cell>
        </row>
        <row r="136">
          <cell r="B136" t="str">
            <v>Bosnia and Herzegovina</v>
          </cell>
          <cell r="C136">
            <v>-21585</v>
          </cell>
          <cell r="D136">
            <v>1.3</v>
          </cell>
          <cell r="E136">
            <v>43</v>
          </cell>
          <cell r="F136">
            <v>0.52</v>
          </cell>
        </row>
        <row r="137">
          <cell r="B137" t="str">
            <v>Mongolia</v>
          </cell>
          <cell r="C137">
            <v>-852</v>
          </cell>
          <cell r="D137">
            <v>2.9</v>
          </cell>
          <cell r="E137">
            <v>28</v>
          </cell>
          <cell r="F137">
            <v>0.67</v>
          </cell>
        </row>
        <row r="138">
          <cell r="B138" t="str">
            <v>Armenia</v>
          </cell>
          <cell r="C138">
            <v>-4998</v>
          </cell>
          <cell r="D138">
            <v>1.8</v>
          </cell>
          <cell r="E138">
            <v>35</v>
          </cell>
          <cell r="F138">
            <v>0.63</v>
          </cell>
        </row>
        <row r="139">
          <cell r="B139" t="str">
            <v>Jamaica</v>
          </cell>
          <cell r="C139">
            <v>-11332</v>
          </cell>
          <cell r="D139">
            <v>2</v>
          </cell>
          <cell r="E139">
            <v>31</v>
          </cell>
          <cell r="F139">
            <v>0.55000000000000004</v>
          </cell>
        </row>
        <row r="140">
          <cell r="B140" t="str">
            <v>Qatar</v>
          </cell>
          <cell r="C140">
            <v>40000</v>
          </cell>
          <cell r="D140">
            <v>1.9</v>
          </cell>
          <cell r="E140">
            <v>32</v>
          </cell>
          <cell r="F140">
            <v>0.96</v>
          </cell>
        </row>
        <row r="141">
          <cell r="B141" t="str">
            <v>Albania</v>
          </cell>
          <cell r="C141">
            <v>-14000</v>
          </cell>
          <cell r="D141">
            <v>1.6</v>
          </cell>
          <cell r="E141">
            <v>36</v>
          </cell>
          <cell r="F141">
            <v>0.63</v>
          </cell>
        </row>
        <row r="142">
          <cell r="B142" t="str">
            <v>Puerto Rico</v>
          </cell>
          <cell r="C142">
            <v>-97986</v>
          </cell>
          <cell r="D142">
            <v>1.2</v>
          </cell>
          <cell r="E142">
            <v>44</v>
          </cell>
          <cell r="F142" t="str">
            <v>N.A.</v>
          </cell>
        </row>
        <row r="143">
          <cell r="B143" t="str">
            <v>Lithuania</v>
          </cell>
          <cell r="C143">
            <v>-32780</v>
          </cell>
          <cell r="D143">
            <v>1.7</v>
          </cell>
          <cell r="E143">
            <v>45</v>
          </cell>
          <cell r="F143">
            <v>0.71</v>
          </cell>
        </row>
        <row r="144">
          <cell r="B144" t="str">
            <v>Namibia</v>
          </cell>
          <cell r="C144">
            <v>-4806</v>
          </cell>
          <cell r="D144">
            <v>3.4</v>
          </cell>
          <cell r="E144">
            <v>22</v>
          </cell>
          <cell r="F144">
            <v>0.55000000000000004</v>
          </cell>
        </row>
        <row r="145">
          <cell r="B145" t="str">
            <v>Gambia</v>
          </cell>
          <cell r="C145">
            <v>-3087</v>
          </cell>
          <cell r="D145">
            <v>5.3</v>
          </cell>
          <cell r="E145">
            <v>18</v>
          </cell>
          <cell r="F145">
            <v>0.59</v>
          </cell>
        </row>
        <row r="146">
          <cell r="B146" t="str">
            <v>Botswana</v>
          </cell>
          <cell r="C146">
            <v>3000</v>
          </cell>
          <cell r="D146">
            <v>2.9</v>
          </cell>
          <cell r="E146">
            <v>24</v>
          </cell>
          <cell r="F146">
            <v>0.73</v>
          </cell>
        </row>
        <row r="147">
          <cell r="B147" t="str">
            <v>Gabon</v>
          </cell>
          <cell r="C147">
            <v>3260</v>
          </cell>
          <cell r="D147">
            <v>4</v>
          </cell>
          <cell r="E147">
            <v>23</v>
          </cell>
          <cell r="F147">
            <v>0.87</v>
          </cell>
        </row>
        <row r="148">
          <cell r="B148" t="str">
            <v>Lesotho</v>
          </cell>
          <cell r="C148">
            <v>-10047</v>
          </cell>
          <cell r="D148">
            <v>3.2</v>
          </cell>
          <cell r="E148">
            <v>24</v>
          </cell>
          <cell r="F148">
            <v>0.31</v>
          </cell>
        </row>
        <row r="149">
          <cell r="B149" t="str">
            <v>North Macedonia</v>
          </cell>
          <cell r="C149">
            <v>-1000</v>
          </cell>
          <cell r="D149">
            <v>1.5</v>
          </cell>
          <cell r="E149">
            <v>39</v>
          </cell>
          <cell r="F149">
            <v>0.59</v>
          </cell>
        </row>
        <row r="150">
          <cell r="B150" t="str">
            <v>Slovenia</v>
          </cell>
          <cell r="C150">
            <v>2000</v>
          </cell>
          <cell r="D150">
            <v>1.6</v>
          </cell>
          <cell r="E150">
            <v>45</v>
          </cell>
          <cell r="F150">
            <v>0.55000000000000004</v>
          </cell>
        </row>
        <row r="151">
          <cell r="B151" t="str">
            <v>Guinea-Bissau</v>
          </cell>
          <cell r="C151">
            <v>-1399</v>
          </cell>
          <cell r="D151">
            <v>4.5</v>
          </cell>
          <cell r="E151">
            <v>19</v>
          </cell>
          <cell r="F151">
            <v>0.45</v>
          </cell>
        </row>
        <row r="152">
          <cell r="B152" t="str">
            <v>Latvia</v>
          </cell>
          <cell r="C152">
            <v>-14837</v>
          </cell>
          <cell r="D152">
            <v>1.7</v>
          </cell>
          <cell r="E152">
            <v>44</v>
          </cell>
          <cell r="F152">
            <v>0.69</v>
          </cell>
        </row>
        <row r="153">
          <cell r="B153" t="str">
            <v>Bahrain</v>
          </cell>
          <cell r="C153">
            <v>47800</v>
          </cell>
          <cell r="D153">
            <v>2</v>
          </cell>
          <cell r="E153">
            <v>32</v>
          </cell>
          <cell r="F153">
            <v>0.89</v>
          </cell>
        </row>
        <row r="154">
          <cell r="B154" t="str">
            <v>Equatorial Guinea</v>
          </cell>
          <cell r="C154">
            <v>16000</v>
          </cell>
          <cell r="D154">
            <v>4.5999999999999996</v>
          </cell>
          <cell r="E154">
            <v>22</v>
          </cell>
          <cell r="F154">
            <v>0.73</v>
          </cell>
        </row>
        <row r="155">
          <cell r="B155" t="str">
            <v>Trinidad and Tobago</v>
          </cell>
          <cell r="C155">
            <v>-800</v>
          </cell>
          <cell r="D155">
            <v>1.7</v>
          </cell>
          <cell r="E155">
            <v>36</v>
          </cell>
          <cell r="F155">
            <v>0.52</v>
          </cell>
        </row>
        <row r="156">
          <cell r="B156" t="str">
            <v>Estonia</v>
          </cell>
          <cell r="C156">
            <v>3911</v>
          </cell>
          <cell r="D156">
            <v>1.6</v>
          </cell>
          <cell r="E156">
            <v>42</v>
          </cell>
          <cell r="F156">
            <v>0.68</v>
          </cell>
        </row>
        <row r="157">
          <cell r="B157" t="str">
            <v>Timor-Leste</v>
          </cell>
          <cell r="C157">
            <v>-5385</v>
          </cell>
          <cell r="D157">
            <v>4.0999999999999996</v>
          </cell>
          <cell r="E157">
            <v>21</v>
          </cell>
          <cell r="F157">
            <v>0.33</v>
          </cell>
        </row>
        <row r="158">
          <cell r="B158" t="str">
            <v>Mauritius</v>
          </cell>
          <cell r="C158">
            <v>0</v>
          </cell>
          <cell r="D158">
            <v>1.4</v>
          </cell>
          <cell r="E158">
            <v>37</v>
          </cell>
          <cell r="F158">
            <v>0.41</v>
          </cell>
        </row>
        <row r="159">
          <cell r="B159" t="str">
            <v>Cyprus</v>
          </cell>
          <cell r="C159">
            <v>5000</v>
          </cell>
          <cell r="D159">
            <v>1.3</v>
          </cell>
          <cell r="E159">
            <v>37</v>
          </cell>
          <cell r="F159">
            <v>0.67</v>
          </cell>
        </row>
        <row r="160">
          <cell r="B160" t="str">
            <v>Eswatini</v>
          </cell>
          <cell r="C160">
            <v>-8353</v>
          </cell>
          <cell r="D160">
            <v>3</v>
          </cell>
          <cell r="E160">
            <v>21</v>
          </cell>
          <cell r="F160">
            <v>0.3</v>
          </cell>
        </row>
        <row r="161">
          <cell r="B161" t="str">
            <v>Djibouti</v>
          </cell>
          <cell r="C161">
            <v>900</v>
          </cell>
          <cell r="D161">
            <v>2.8</v>
          </cell>
          <cell r="E161">
            <v>27</v>
          </cell>
          <cell r="F161">
            <v>0.79</v>
          </cell>
        </row>
        <row r="162">
          <cell r="B162" t="str">
            <v>Fiji</v>
          </cell>
          <cell r="C162">
            <v>-6202</v>
          </cell>
          <cell r="D162">
            <v>2.8</v>
          </cell>
          <cell r="E162">
            <v>28</v>
          </cell>
          <cell r="F162">
            <v>0.59</v>
          </cell>
        </row>
        <row r="163">
          <cell r="B163" t="str">
            <v>Réunion</v>
          </cell>
          <cell r="C163">
            <v>-1256</v>
          </cell>
          <cell r="D163">
            <v>2.2999999999999998</v>
          </cell>
          <cell r="E163">
            <v>36</v>
          </cell>
          <cell r="F163">
            <v>1</v>
          </cell>
        </row>
        <row r="164">
          <cell r="B164" t="str">
            <v>Comoros</v>
          </cell>
          <cell r="C164">
            <v>-2000</v>
          </cell>
          <cell r="D164">
            <v>4.2</v>
          </cell>
          <cell r="E164">
            <v>20</v>
          </cell>
          <cell r="F164">
            <v>0.28999999999999998</v>
          </cell>
        </row>
        <row r="165">
          <cell r="B165" t="str">
            <v>Guyana</v>
          </cell>
          <cell r="C165">
            <v>-6000</v>
          </cell>
          <cell r="D165">
            <v>2.5</v>
          </cell>
          <cell r="E165">
            <v>27</v>
          </cell>
          <cell r="F165">
            <v>0.27</v>
          </cell>
        </row>
        <row r="166">
          <cell r="B166" t="str">
            <v>Bhutan</v>
          </cell>
          <cell r="C166">
            <v>320</v>
          </cell>
          <cell r="D166">
            <v>2</v>
          </cell>
          <cell r="E166">
            <v>28</v>
          </cell>
          <cell r="F166">
            <v>0.46</v>
          </cell>
        </row>
        <row r="167">
          <cell r="B167" t="str">
            <v>Solomon Islands</v>
          </cell>
          <cell r="C167">
            <v>-1600</v>
          </cell>
          <cell r="D167">
            <v>4.4000000000000004</v>
          </cell>
          <cell r="E167">
            <v>20</v>
          </cell>
          <cell r="F167">
            <v>0.23</v>
          </cell>
        </row>
        <row r="168">
          <cell r="B168" t="str">
            <v>Macao</v>
          </cell>
          <cell r="C168">
            <v>5000</v>
          </cell>
          <cell r="D168">
            <v>1.2</v>
          </cell>
          <cell r="E168">
            <v>39</v>
          </cell>
          <cell r="F168" t="str">
            <v>N.A.</v>
          </cell>
        </row>
        <row r="169">
          <cell r="B169" t="str">
            <v>Montenegro</v>
          </cell>
          <cell r="C169">
            <v>-480</v>
          </cell>
          <cell r="D169">
            <v>1.8</v>
          </cell>
          <cell r="E169">
            <v>39</v>
          </cell>
          <cell r="F169">
            <v>0.68</v>
          </cell>
        </row>
        <row r="170">
          <cell r="B170" t="str">
            <v>Luxembourg</v>
          </cell>
          <cell r="C170">
            <v>9741</v>
          </cell>
          <cell r="D170">
            <v>1.5</v>
          </cell>
          <cell r="E170">
            <v>40</v>
          </cell>
          <cell r="F170">
            <v>0.88</v>
          </cell>
        </row>
        <row r="171">
          <cell r="B171" t="str">
            <v>Western Sahara</v>
          </cell>
          <cell r="C171">
            <v>5582</v>
          </cell>
          <cell r="D171">
            <v>2.4</v>
          </cell>
          <cell r="E171">
            <v>28</v>
          </cell>
          <cell r="F171">
            <v>0.87</v>
          </cell>
        </row>
        <row r="172">
          <cell r="B172" t="str">
            <v>Suriname</v>
          </cell>
          <cell r="C172">
            <v>-1000</v>
          </cell>
          <cell r="D172">
            <v>2.4</v>
          </cell>
          <cell r="E172">
            <v>29</v>
          </cell>
          <cell r="F172">
            <v>0.65</v>
          </cell>
        </row>
        <row r="173">
          <cell r="B173" t="str">
            <v>Cabo Verde</v>
          </cell>
          <cell r="C173">
            <v>-1342</v>
          </cell>
          <cell r="D173">
            <v>2.2999999999999998</v>
          </cell>
          <cell r="E173">
            <v>28</v>
          </cell>
          <cell r="F173">
            <v>0.68</v>
          </cell>
        </row>
        <row r="174">
          <cell r="B174" t="str">
            <v>Micronesia</v>
          </cell>
          <cell r="C174">
            <v>-2957</v>
          </cell>
          <cell r="D174">
            <v>2.9</v>
          </cell>
          <cell r="E174">
            <v>27</v>
          </cell>
          <cell r="F174">
            <v>0.68</v>
          </cell>
        </row>
        <row r="175">
          <cell r="B175" t="str">
            <v>Maldives</v>
          </cell>
          <cell r="C175">
            <v>11370</v>
          </cell>
          <cell r="D175">
            <v>1.9</v>
          </cell>
          <cell r="E175">
            <v>30</v>
          </cell>
          <cell r="F175">
            <v>0.35</v>
          </cell>
        </row>
        <row r="176">
          <cell r="B176" t="str">
            <v>Malta</v>
          </cell>
          <cell r="C176">
            <v>900</v>
          </cell>
          <cell r="D176">
            <v>1.5</v>
          </cell>
          <cell r="E176">
            <v>43</v>
          </cell>
          <cell r="F176">
            <v>0.93</v>
          </cell>
        </row>
        <row r="177">
          <cell r="B177" t="str">
            <v>Brunei</v>
          </cell>
          <cell r="C177">
            <v>0</v>
          </cell>
          <cell r="D177">
            <v>1.8</v>
          </cell>
          <cell r="E177">
            <v>32</v>
          </cell>
          <cell r="F177">
            <v>0.8</v>
          </cell>
        </row>
        <row r="178">
          <cell r="B178" t="str">
            <v>Guadeloupe</v>
          </cell>
          <cell r="C178">
            <v>-1440</v>
          </cell>
          <cell r="D178">
            <v>2.2000000000000002</v>
          </cell>
          <cell r="E178">
            <v>44</v>
          </cell>
          <cell r="F178" t="str">
            <v>N.A.</v>
          </cell>
        </row>
        <row r="179">
          <cell r="B179" t="str">
            <v>Belize</v>
          </cell>
          <cell r="C179">
            <v>1200</v>
          </cell>
          <cell r="D179">
            <v>2.2999999999999998</v>
          </cell>
          <cell r="E179">
            <v>25</v>
          </cell>
          <cell r="F179">
            <v>0.46</v>
          </cell>
        </row>
        <row r="180">
          <cell r="B180" t="str">
            <v>Bahamas</v>
          </cell>
          <cell r="C180">
            <v>1000</v>
          </cell>
          <cell r="D180">
            <v>1.8</v>
          </cell>
          <cell r="E180">
            <v>32</v>
          </cell>
          <cell r="F180">
            <v>0.86</v>
          </cell>
        </row>
        <row r="181">
          <cell r="B181" t="str">
            <v>Martinique</v>
          </cell>
          <cell r="C181">
            <v>-960</v>
          </cell>
          <cell r="D181">
            <v>1.9</v>
          </cell>
          <cell r="E181">
            <v>47</v>
          </cell>
          <cell r="F181">
            <v>0.92</v>
          </cell>
        </row>
        <row r="182">
          <cell r="B182" t="str">
            <v>Iceland</v>
          </cell>
          <cell r="C182">
            <v>380</v>
          </cell>
          <cell r="D182">
            <v>1.8</v>
          </cell>
          <cell r="E182">
            <v>37</v>
          </cell>
          <cell r="F182">
            <v>0.94</v>
          </cell>
        </row>
        <row r="183">
          <cell r="B183" t="str">
            <v>Vanuatu</v>
          </cell>
          <cell r="C183">
            <v>120</v>
          </cell>
          <cell r="D183">
            <v>3.8</v>
          </cell>
          <cell r="E183">
            <v>21</v>
          </cell>
          <cell r="F183">
            <v>0.24</v>
          </cell>
        </row>
        <row r="184">
          <cell r="B184" t="str">
            <v>French Guiana</v>
          </cell>
          <cell r="C184">
            <v>1200</v>
          </cell>
          <cell r="D184">
            <v>3.4</v>
          </cell>
          <cell r="E184">
            <v>25</v>
          </cell>
          <cell r="F184">
            <v>0.87</v>
          </cell>
        </row>
        <row r="185">
          <cell r="B185" t="str">
            <v>Barbados</v>
          </cell>
          <cell r="C185">
            <v>-79</v>
          </cell>
          <cell r="D185">
            <v>1.6</v>
          </cell>
          <cell r="E185">
            <v>40</v>
          </cell>
          <cell r="F185">
            <v>0.31</v>
          </cell>
        </row>
        <row r="186">
          <cell r="B186" t="str">
            <v>New Caledonia</v>
          </cell>
          <cell r="C186">
            <v>502</v>
          </cell>
          <cell r="D186">
            <v>2</v>
          </cell>
          <cell r="E186">
            <v>34</v>
          </cell>
          <cell r="F186">
            <v>0.72</v>
          </cell>
        </row>
        <row r="187">
          <cell r="B187" t="str">
            <v>French Polynesia</v>
          </cell>
          <cell r="C187">
            <v>-1000</v>
          </cell>
          <cell r="D187">
            <v>2</v>
          </cell>
          <cell r="E187">
            <v>34</v>
          </cell>
          <cell r="F187">
            <v>0.64</v>
          </cell>
        </row>
        <row r="188">
          <cell r="B188" t="str">
            <v>Mayotte</v>
          </cell>
          <cell r="C188">
            <v>0</v>
          </cell>
          <cell r="D188">
            <v>3.7</v>
          </cell>
          <cell r="E188">
            <v>20</v>
          </cell>
          <cell r="F188">
            <v>0.46</v>
          </cell>
        </row>
        <row r="189">
          <cell r="B189" t="str">
            <v>Sao Tome &amp; Principe</v>
          </cell>
          <cell r="C189">
            <v>-1680</v>
          </cell>
          <cell r="D189">
            <v>4.4000000000000004</v>
          </cell>
          <cell r="E189">
            <v>19</v>
          </cell>
          <cell r="F189">
            <v>0.74</v>
          </cell>
        </row>
        <row r="190">
          <cell r="B190" t="str">
            <v>Samoa</v>
          </cell>
          <cell r="C190">
            <v>-2803</v>
          </cell>
          <cell r="D190">
            <v>3.9</v>
          </cell>
          <cell r="E190">
            <v>22</v>
          </cell>
          <cell r="F190">
            <v>0.18</v>
          </cell>
        </row>
        <row r="191">
          <cell r="B191" t="str">
            <v>Saint Lucia</v>
          </cell>
          <cell r="C191">
            <v>0</v>
          </cell>
          <cell r="D191">
            <v>1.4</v>
          </cell>
          <cell r="E191">
            <v>34</v>
          </cell>
          <cell r="F191">
            <v>0.19</v>
          </cell>
        </row>
        <row r="192">
          <cell r="B192" t="str">
            <v>Channel Islands</v>
          </cell>
          <cell r="C192">
            <v>1351</v>
          </cell>
          <cell r="D192">
            <v>1.5</v>
          </cell>
          <cell r="E192">
            <v>43</v>
          </cell>
          <cell r="F192">
            <v>0.3</v>
          </cell>
        </row>
        <row r="193">
          <cell r="B193" t="str">
            <v>Guam</v>
          </cell>
          <cell r="C193">
            <v>-506</v>
          </cell>
          <cell r="D193">
            <v>2.2999999999999998</v>
          </cell>
          <cell r="E193">
            <v>31</v>
          </cell>
          <cell r="F193">
            <v>0.95</v>
          </cell>
        </row>
        <row r="194">
          <cell r="B194" t="str">
            <v>Curaçao</v>
          </cell>
          <cell r="C194">
            <v>515</v>
          </cell>
          <cell r="D194">
            <v>1.8</v>
          </cell>
          <cell r="E194">
            <v>42</v>
          </cell>
          <cell r="F194">
            <v>0.89</v>
          </cell>
        </row>
        <row r="195">
          <cell r="B195" t="str">
            <v>Kiribati</v>
          </cell>
          <cell r="C195">
            <v>-800</v>
          </cell>
          <cell r="D195">
            <v>3.6</v>
          </cell>
          <cell r="E195">
            <v>23</v>
          </cell>
          <cell r="F195">
            <v>0.56999999999999995</v>
          </cell>
        </row>
        <row r="196">
          <cell r="B196" t="str">
            <v>Grenada</v>
          </cell>
          <cell r="C196">
            <v>-200</v>
          </cell>
          <cell r="D196">
            <v>2.1</v>
          </cell>
          <cell r="E196">
            <v>32</v>
          </cell>
          <cell r="F196">
            <v>0.35</v>
          </cell>
        </row>
        <row r="197">
          <cell r="B197" t="str">
            <v>St. Vincent &amp; Grenadines</v>
          </cell>
          <cell r="C197">
            <v>-200</v>
          </cell>
          <cell r="D197">
            <v>1.9</v>
          </cell>
          <cell r="E197">
            <v>33</v>
          </cell>
          <cell r="F197">
            <v>0.53</v>
          </cell>
        </row>
        <row r="198">
          <cell r="B198" t="str">
            <v>Aruba</v>
          </cell>
          <cell r="C198">
            <v>201</v>
          </cell>
          <cell r="D198">
            <v>1.9</v>
          </cell>
          <cell r="E198">
            <v>41</v>
          </cell>
          <cell r="F198">
            <v>0.44</v>
          </cell>
        </row>
        <row r="199">
          <cell r="B199" t="str">
            <v>Tonga</v>
          </cell>
          <cell r="C199">
            <v>-800</v>
          </cell>
          <cell r="D199">
            <v>3.6</v>
          </cell>
          <cell r="E199">
            <v>22</v>
          </cell>
          <cell r="F199">
            <v>0.24</v>
          </cell>
        </row>
        <row r="200">
          <cell r="B200" t="str">
            <v>U.S. Virgin Islands</v>
          </cell>
          <cell r="C200">
            <v>-451</v>
          </cell>
          <cell r="D200">
            <v>2</v>
          </cell>
          <cell r="E200">
            <v>43</v>
          </cell>
          <cell r="F200">
            <v>0.96</v>
          </cell>
        </row>
        <row r="201">
          <cell r="B201" t="str">
            <v>Seychelles</v>
          </cell>
          <cell r="C201">
            <v>-200</v>
          </cell>
          <cell r="D201">
            <v>2.5</v>
          </cell>
          <cell r="E201">
            <v>34</v>
          </cell>
          <cell r="F201">
            <v>0.56000000000000005</v>
          </cell>
        </row>
        <row r="202">
          <cell r="B202" t="str">
            <v>Antigua and Barbuda</v>
          </cell>
          <cell r="C202">
            <v>0</v>
          </cell>
          <cell r="D202">
            <v>2</v>
          </cell>
          <cell r="E202">
            <v>34</v>
          </cell>
          <cell r="F202">
            <v>0.26</v>
          </cell>
        </row>
        <row r="203">
          <cell r="B203" t="str">
            <v>Isle of Man</v>
          </cell>
          <cell r="D203" t="str">
            <v>N.A.</v>
          </cell>
          <cell r="E203" t="str">
            <v>N.A.</v>
          </cell>
          <cell r="F203">
            <v>0.53</v>
          </cell>
        </row>
        <row r="204">
          <cell r="B204" t="str">
            <v>Andorra</v>
          </cell>
          <cell r="D204" t="str">
            <v>N.A.</v>
          </cell>
          <cell r="E204" t="str">
            <v>N.A.</v>
          </cell>
          <cell r="F204">
            <v>0.88</v>
          </cell>
        </row>
        <row r="205">
          <cell r="B205" t="str">
            <v>Dominica</v>
          </cell>
          <cell r="D205" t="str">
            <v>N.A.</v>
          </cell>
          <cell r="E205" t="str">
            <v>N.A.</v>
          </cell>
          <cell r="F205">
            <v>0.74</v>
          </cell>
        </row>
        <row r="206">
          <cell r="B206" t="str">
            <v>Cayman Islands</v>
          </cell>
          <cell r="D206" t="str">
            <v>N.A.</v>
          </cell>
          <cell r="E206" t="str">
            <v>N.A.</v>
          </cell>
          <cell r="F206">
            <v>0.97</v>
          </cell>
        </row>
        <row r="207">
          <cell r="B207" t="str">
            <v>Bermuda</v>
          </cell>
          <cell r="D207" t="str">
            <v>N.A.</v>
          </cell>
          <cell r="E207" t="str">
            <v>N.A.</v>
          </cell>
          <cell r="F207">
            <v>0.97</v>
          </cell>
        </row>
        <row r="208">
          <cell r="B208" t="str">
            <v>Marshall Islands</v>
          </cell>
          <cell r="D208" t="str">
            <v>N.A.</v>
          </cell>
          <cell r="E208" t="str">
            <v>N.A.</v>
          </cell>
          <cell r="F208">
            <v>0.7</v>
          </cell>
        </row>
        <row r="209">
          <cell r="B209" t="str">
            <v>Northern Mariana Islands</v>
          </cell>
          <cell r="D209" t="str">
            <v>N.A.</v>
          </cell>
          <cell r="E209" t="str">
            <v>N.A.</v>
          </cell>
          <cell r="F209">
            <v>0.88</v>
          </cell>
        </row>
        <row r="210">
          <cell r="B210" t="str">
            <v>Greenland</v>
          </cell>
          <cell r="D210" t="str">
            <v>N.A.</v>
          </cell>
          <cell r="E210" t="str">
            <v>N.A.</v>
          </cell>
          <cell r="F210">
            <v>0.87</v>
          </cell>
        </row>
        <row r="211">
          <cell r="B211" t="str">
            <v>American Samoa</v>
          </cell>
          <cell r="D211" t="str">
            <v>N.A.</v>
          </cell>
          <cell r="E211" t="str">
            <v>N.A.</v>
          </cell>
          <cell r="F211">
            <v>0.88</v>
          </cell>
        </row>
        <row r="212">
          <cell r="B212" t="str">
            <v>Saint Kitts &amp; Nevis</v>
          </cell>
          <cell r="D212" t="str">
            <v>N.A.</v>
          </cell>
          <cell r="E212" t="str">
            <v>N.A.</v>
          </cell>
          <cell r="F212">
            <v>0.33</v>
          </cell>
        </row>
        <row r="213">
          <cell r="B213" t="str">
            <v>Faeroe Islands</v>
          </cell>
          <cell r="D213" t="str">
            <v>N.A.</v>
          </cell>
          <cell r="E213" t="str">
            <v>N.A.</v>
          </cell>
          <cell r="F213">
            <v>0.43</v>
          </cell>
        </row>
        <row r="214">
          <cell r="B214" t="str">
            <v>Sint Maarten</v>
          </cell>
          <cell r="D214" t="str">
            <v>N.A.</v>
          </cell>
          <cell r="E214" t="str">
            <v>N.A.</v>
          </cell>
          <cell r="F214">
            <v>0.96</v>
          </cell>
        </row>
        <row r="215">
          <cell r="B215" t="str">
            <v>Monaco</v>
          </cell>
          <cell r="D215" t="str">
            <v>N.A.</v>
          </cell>
          <cell r="E215" t="str">
            <v>N.A.</v>
          </cell>
          <cell r="F215" t="str">
            <v>N.A.</v>
          </cell>
        </row>
        <row r="216">
          <cell r="B216" t="str">
            <v>Turks and Caicos</v>
          </cell>
          <cell r="D216" t="str">
            <v>N.A.</v>
          </cell>
          <cell r="E216" t="str">
            <v>N.A.</v>
          </cell>
          <cell r="F216">
            <v>0.89</v>
          </cell>
        </row>
        <row r="217">
          <cell r="B217" t="str">
            <v>Saint Martin</v>
          </cell>
          <cell r="D217" t="str">
            <v>N.A.</v>
          </cell>
          <cell r="E217" t="str">
            <v>N.A.</v>
          </cell>
          <cell r="F217">
            <v>0</v>
          </cell>
        </row>
        <row r="218">
          <cell r="B218" t="str">
            <v>Liechtenstein</v>
          </cell>
          <cell r="D218" t="str">
            <v>N.A.</v>
          </cell>
          <cell r="E218" t="str">
            <v>N.A.</v>
          </cell>
          <cell r="F218">
            <v>0.15</v>
          </cell>
        </row>
        <row r="219">
          <cell r="B219" t="str">
            <v>San Marino</v>
          </cell>
          <cell r="D219" t="str">
            <v>N.A.</v>
          </cell>
          <cell r="E219" t="str">
            <v>N.A.</v>
          </cell>
          <cell r="F219">
            <v>0.97</v>
          </cell>
        </row>
        <row r="220">
          <cell r="B220" t="str">
            <v>Gibraltar</v>
          </cell>
          <cell r="D220" t="str">
            <v>N.A.</v>
          </cell>
          <cell r="E220" t="str">
            <v>N.A.</v>
          </cell>
          <cell r="F220" t="str">
            <v>N.A.</v>
          </cell>
        </row>
        <row r="221">
          <cell r="B221" t="str">
            <v>British Virgin Islands</v>
          </cell>
          <cell r="D221" t="str">
            <v>N.A.</v>
          </cell>
          <cell r="E221" t="str">
            <v>N.A.</v>
          </cell>
          <cell r="F221">
            <v>0.52</v>
          </cell>
        </row>
        <row r="222">
          <cell r="B222" t="str">
            <v>Caribbean Netherlands</v>
          </cell>
          <cell r="D222" t="str">
            <v>N.A.</v>
          </cell>
          <cell r="E222" t="str">
            <v>N.A.</v>
          </cell>
          <cell r="F222">
            <v>0.75</v>
          </cell>
        </row>
        <row r="223">
          <cell r="B223" t="str">
            <v>Palau</v>
          </cell>
          <cell r="D223" t="str">
            <v>N.A.</v>
          </cell>
          <cell r="E223" t="str">
            <v>N.A.</v>
          </cell>
          <cell r="F223" t="str">
            <v>N.A.</v>
          </cell>
        </row>
        <row r="224">
          <cell r="B224" t="str">
            <v>Cook Islands</v>
          </cell>
          <cell r="D224" t="str">
            <v>N.A.</v>
          </cell>
          <cell r="E224" t="str">
            <v>N.A.</v>
          </cell>
          <cell r="F224">
            <v>0.75</v>
          </cell>
        </row>
        <row r="225">
          <cell r="B225" t="str">
            <v>Anguilla</v>
          </cell>
          <cell r="D225" t="str">
            <v>N.A.</v>
          </cell>
          <cell r="E225" t="str">
            <v>N.A.</v>
          </cell>
          <cell r="F225" t="str">
            <v>N.A.</v>
          </cell>
        </row>
        <row r="226">
          <cell r="B226" t="str">
            <v>Tuvalu</v>
          </cell>
          <cell r="D226" t="str">
            <v>N.A.</v>
          </cell>
          <cell r="E226" t="str">
            <v>N.A.</v>
          </cell>
          <cell r="F226">
            <v>0.62</v>
          </cell>
        </row>
        <row r="227">
          <cell r="B227" t="str">
            <v>Wallis &amp; Futuna</v>
          </cell>
          <cell r="D227" t="str">
            <v>N.A.</v>
          </cell>
          <cell r="E227" t="str">
            <v>N.A.</v>
          </cell>
          <cell r="F227">
            <v>0</v>
          </cell>
        </row>
        <row r="228">
          <cell r="B228" t="str">
            <v>Nauru</v>
          </cell>
          <cell r="D228" t="str">
            <v>N.A.</v>
          </cell>
          <cell r="E228" t="str">
            <v>N.A.</v>
          </cell>
          <cell r="F228" t="str">
            <v>N.A.</v>
          </cell>
        </row>
        <row r="229">
          <cell r="B229" t="str">
            <v>Saint Barthelemy</v>
          </cell>
          <cell r="D229" t="str">
            <v>N.A.</v>
          </cell>
          <cell r="E229" t="str">
            <v>N.A.</v>
          </cell>
          <cell r="F229">
            <v>0</v>
          </cell>
        </row>
        <row r="230">
          <cell r="B230" t="str">
            <v>Saint Helena</v>
          </cell>
          <cell r="D230" t="str">
            <v>N.A.</v>
          </cell>
          <cell r="E230" t="str">
            <v>N.A.</v>
          </cell>
          <cell r="F230">
            <v>0.27</v>
          </cell>
        </row>
        <row r="231">
          <cell r="B231" t="str">
            <v>Saint Pierre &amp; Miquelon</v>
          </cell>
          <cell r="D231" t="str">
            <v>N.A.</v>
          </cell>
          <cell r="E231" t="str">
            <v>N.A.</v>
          </cell>
          <cell r="F231">
            <v>1</v>
          </cell>
        </row>
        <row r="232">
          <cell r="B232" t="str">
            <v>Montserrat</v>
          </cell>
          <cell r="D232" t="str">
            <v>N.A.</v>
          </cell>
          <cell r="E232" t="str">
            <v>N.A.</v>
          </cell>
          <cell r="F232">
            <v>0.1</v>
          </cell>
        </row>
        <row r="233">
          <cell r="B233" t="str">
            <v>Falkland Islands</v>
          </cell>
          <cell r="D233" t="str">
            <v>N.A.</v>
          </cell>
          <cell r="E233" t="str">
            <v>N.A.</v>
          </cell>
          <cell r="F233">
            <v>0.66</v>
          </cell>
        </row>
        <row r="234">
          <cell r="B234" t="str">
            <v>Niue</v>
          </cell>
          <cell r="D234" t="str">
            <v>N.A.</v>
          </cell>
          <cell r="E234" t="str">
            <v>N.A.</v>
          </cell>
          <cell r="F234">
            <v>0.46</v>
          </cell>
        </row>
        <row r="235">
          <cell r="B235" t="str">
            <v>Tokelau</v>
          </cell>
          <cell r="D235" t="str">
            <v>N.A.</v>
          </cell>
          <cell r="E235" t="str">
            <v>N.A.</v>
          </cell>
          <cell r="F235">
            <v>0</v>
          </cell>
        </row>
        <row r="236">
          <cell r="B236" t="str">
            <v>Holy See</v>
          </cell>
          <cell r="D236" t="str">
            <v>N.A.</v>
          </cell>
          <cell r="E236" t="str">
            <v>N.A.</v>
          </cell>
          <cell r="F236" t="str">
            <v>N.A.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ld_pop."/>
    </sheetNames>
    <sheetDataSet>
      <sheetData sheetId="0">
        <row r="1">
          <cell r="C1" t="str">
            <v>Country/Territory</v>
          </cell>
          <cell r="D1" t="str">
            <v>Capital</v>
          </cell>
          <cell r="E1" t="str">
            <v>Continent</v>
          </cell>
        </row>
        <row r="2">
          <cell r="C2" t="str">
            <v>China</v>
          </cell>
          <cell r="D2" t="str">
            <v>Beijing</v>
          </cell>
          <cell r="E2" t="str">
            <v>Asia</v>
          </cell>
        </row>
        <row r="3">
          <cell r="C3" t="str">
            <v>India</v>
          </cell>
          <cell r="D3" t="str">
            <v>New Delhi</v>
          </cell>
          <cell r="E3" t="str">
            <v>Asia</v>
          </cell>
        </row>
        <row r="4">
          <cell r="C4" t="str">
            <v>United States</v>
          </cell>
          <cell r="D4" t="str">
            <v>Washington, D.C.</v>
          </cell>
          <cell r="E4" t="str">
            <v>North America</v>
          </cell>
        </row>
        <row r="5">
          <cell r="C5" t="str">
            <v>Indonesia</v>
          </cell>
          <cell r="D5" t="str">
            <v>Jakarta</v>
          </cell>
          <cell r="E5" t="str">
            <v>Asia</v>
          </cell>
        </row>
        <row r="6">
          <cell r="C6" t="str">
            <v>Pakistan</v>
          </cell>
          <cell r="D6" t="str">
            <v>Islamabad</v>
          </cell>
          <cell r="E6" t="str">
            <v>Asia</v>
          </cell>
        </row>
        <row r="7">
          <cell r="C7" t="str">
            <v>Nigeria</v>
          </cell>
          <cell r="D7" t="str">
            <v>Abuja</v>
          </cell>
          <cell r="E7" t="str">
            <v>Africa</v>
          </cell>
        </row>
        <row r="8">
          <cell r="C8" t="str">
            <v>Brazil</v>
          </cell>
          <cell r="D8" t="str">
            <v>Brasilia</v>
          </cell>
          <cell r="E8" t="str">
            <v>South America</v>
          </cell>
        </row>
        <row r="9">
          <cell r="C9" t="str">
            <v>Bangladesh</v>
          </cell>
          <cell r="D9" t="str">
            <v>Dhaka</v>
          </cell>
          <cell r="E9" t="str">
            <v>Asia</v>
          </cell>
        </row>
        <row r="10">
          <cell r="C10" t="str">
            <v>Russia</v>
          </cell>
          <cell r="D10" t="str">
            <v>Moscow</v>
          </cell>
          <cell r="E10" t="str">
            <v>Europe</v>
          </cell>
        </row>
        <row r="11">
          <cell r="C11" t="str">
            <v>Mexico</v>
          </cell>
          <cell r="D11" t="str">
            <v>Mexico City</v>
          </cell>
          <cell r="E11" t="str">
            <v>North America</v>
          </cell>
        </row>
        <row r="12">
          <cell r="C12" t="str">
            <v>Japan</v>
          </cell>
          <cell r="D12" t="str">
            <v>Tokyo</v>
          </cell>
          <cell r="E12" t="str">
            <v>Asia</v>
          </cell>
        </row>
        <row r="13">
          <cell r="C13" t="str">
            <v>Ethiopia</v>
          </cell>
          <cell r="D13" t="str">
            <v>Addis Ababa</v>
          </cell>
          <cell r="E13" t="str">
            <v>Africa</v>
          </cell>
        </row>
        <row r="14">
          <cell r="C14" t="str">
            <v>Philippines</v>
          </cell>
          <cell r="D14" t="str">
            <v>Manila</v>
          </cell>
          <cell r="E14" t="str">
            <v>Asia</v>
          </cell>
        </row>
        <row r="15">
          <cell r="C15" t="str">
            <v>Egypt</v>
          </cell>
          <cell r="D15" t="str">
            <v>Cairo</v>
          </cell>
          <cell r="E15" t="str">
            <v>Africa</v>
          </cell>
        </row>
        <row r="16">
          <cell r="C16" t="str">
            <v>DR Congo</v>
          </cell>
          <cell r="D16" t="str">
            <v>Kinshasa</v>
          </cell>
          <cell r="E16" t="str">
            <v>Africa</v>
          </cell>
        </row>
        <row r="17">
          <cell r="C17" t="str">
            <v>Vietnam</v>
          </cell>
          <cell r="D17" t="str">
            <v>Hanoi</v>
          </cell>
          <cell r="E17" t="str">
            <v>Asia</v>
          </cell>
        </row>
        <row r="18">
          <cell r="C18" t="str">
            <v>Iran</v>
          </cell>
          <cell r="D18" t="str">
            <v>Tehran</v>
          </cell>
          <cell r="E18" t="str">
            <v>Asia</v>
          </cell>
        </row>
        <row r="19">
          <cell r="C19" t="str">
            <v>Turkey</v>
          </cell>
          <cell r="D19" t="str">
            <v>Ankara</v>
          </cell>
          <cell r="E19" t="str">
            <v>Asia</v>
          </cell>
        </row>
        <row r="20">
          <cell r="C20" t="str">
            <v>Germany</v>
          </cell>
          <cell r="D20" t="str">
            <v>Berlin</v>
          </cell>
          <cell r="E20" t="str">
            <v>Europe</v>
          </cell>
        </row>
        <row r="21">
          <cell r="C21" t="str">
            <v>Thailand</v>
          </cell>
          <cell r="D21" t="str">
            <v>Bangkok</v>
          </cell>
          <cell r="E21" t="str">
            <v>Asia</v>
          </cell>
        </row>
        <row r="22">
          <cell r="C22" t="str">
            <v>United Kingdom</v>
          </cell>
          <cell r="D22" t="str">
            <v>London</v>
          </cell>
          <cell r="E22" t="str">
            <v>Europe</v>
          </cell>
        </row>
        <row r="23">
          <cell r="C23" t="str">
            <v>Tanzania</v>
          </cell>
          <cell r="D23" t="str">
            <v>Dodoma</v>
          </cell>
          <cell r="E23" t="str">
            <v>Africa</v>
          </cell>
        </row>
        <row r="24">
          <cell r="C24" t="str">
            <v>France</v>
          </cell>
          <cell r="D24" t="str">
            <v>Paris</v>
          </cell>
          <cell r="E24" t="str">
            <v>Europe</v>
          </cell>
        </row>
        <row r="25">
          <cell r="C25" t="str">
            <v>South Africa</v>
          </cell>
          <cell r="D25" t="str">
            <v>Pretoria</v>
          </cell>
          <cell r="E25" t="str">
            <v>Africa</v>
          </cell>
        </row>
        <row r="26">
          <cell r="C26" t="str">
            <v>Italy</v>
          </cell>
          <cell r="D26" t="str">
            <v>Rome</v>
          </cell>
          <cell r="E26" t="str">
            <v>Europe</v>
          </cell>
        </row>
        <row r="27">
          <cell r="C27" t="str">
            <v>Myanmar</v>
          </cell>
          <cell r="D27" t="str">
            <v>Nay Pyi Taw</v>
          </cell>
          <cell r="E27" t="str">
            <v>Asia</v>
          </cell>
        </row>
        <row r="28">
          <cell r="C28" t="str">
            <v>Kenya</v>
          </cell>
          <cell r="D28" t="str">
            <v>Nairobi</v>
          </cell>
          <cell r="E28" t="str">
            <v>Africa</v>
          </cell>
        </row>
        <row r="29">
          <cell r="C29" t="str">
            <v>Colombia</v>
          </cell>
          <cell r="D29" t="str">
            <v>Bogota</v>
          </cell>
          <cell r="E29" t="str">
            <v>South America</v>
          </cell>
        </row>
        <row r="30">
          <cell r="C30" t="str">
            <v>South Korea</v>
          </cell>
          <cell r="D30" t="str">
            <v>Seoul</v>
          </cell>
          <cell r="E30" t="str">
            <v>Asia</v>
          </cell>
        </row>
        <row r="31">
          <cell r="C31" t="str">
            <v>Spain</v>
          </cell>
          <cell r="D31" t="str">
            <v>Madrid</v>
          </cell>
          <cell r="E31" t="str">
            <v>Europe</v>
          </cell>
        </row>
        <row r="32">
          <cell r="C32" t="str">
            <v>Uganda</v>
          </cell>
          <cell r="D32" t="str">
            <v>Kampala</v>
          </cell>
          <cell r="E32" t="str">
            <v>Africa</v>
          </cell>
        </row>
        <row r="33">
          <cell r="C33" t="str">
            <v>Sudan</v>
          </cell>
          <cell r="D33" t="str">
            <v>Khartoum</v>
          </cell>
          <cell r="E33" t="str">
            <v>Africa</v>
          </cell>
        </row>
        <row r="34">
          <cell r="C34" t="str">
            <v>Argentina</v>
          </cell>
          <cell r="D34" t="str">
            <v>Buenos Aires</v>
          </cell>
          <cell r="E34" t="str">
            <v>South America</v>
          </cell>
        </row>
        <row r="35">
          <cell r="C35" t="str">
            <v>Algeria</v>
          </cell>
          <cell r="D35" t="str">
            <v>Algiers</v>
          </cell>
          <cell r="E35" t="str">
            <v>Africa</v>
          </cell>
        </row>
        <row r="36">
          <cell r="C36" t="str">
            <v>Iraq</v>
          </cell>
          <cell r="D36" t="str">
            <v>Baghdad</v>
          </cell>
          <cell r="E36" t="str">
            <v>Asia</v>
          </cell>
        </row>
        <row r="37">
          <cell r="C37" t="str">
            <v>Afghanistan</v>
          </cell>
          <cell r="D37" t="str">
            <v>Kabul</v>
          </cell>
          <cell r="E37" t="str">
            <v>Asia</v>
          </cell>
        </row>
        <row r="38">
          <cell r="C38" t="str">
            <v>Poland</v>
          </cell>
          <cell r="D38" t="str">
            <v>Warsaw</v>
          </cell>
          <cell r="E38" t="str">
            <v>Europe</v>
          </cell>
        </row>
        <row r="39">
          <cell r="C39" t="str">
            <v>Ukraine</v>
          </cell>
          <cell r="D39" t="str">
            <v>Kiev</v>
          </cell>
          <cell r="E39" t="str">
            <v>Europe</v>
          </cell>
        </row>
        <row r="40">
          <cell r="C40" t="str">
            <v>Canada</v>
          </cell>
          <cell r="D40" t="str">
            <v>Ottawa</v>
          </cell>
          <cell r="E40" t="str">
            <v>North America</v>
          </cell>
        </row>
        <row r="41">
          <cell r="C41" t="str">
            <v>Morocco</v>
          </cell>
          <cell r="D41" t="str">
            <v>Rabat</v>
          </cell>
          <cell r="E41" t="str">
            <v>Africa</v>
          </cell>
        </row>
        <row r="42">
          <cell r="C42" t="str">
            <v>Saudi Arabia</v>
          </cell>
          <cell r="D42" t="str">
            <v>Riyadh</v>
          </cell>
          <cell r="E42" t="str">
            <v>Asia</v>
          </cell>
        </row>
        <row r="43">
          <cell r="C43" t="str">
            <v>Angola</v>
          </cell>
          <cell r="D43" t="str">
            <v>Luanda</v>
          </cell>
          <cell r="E43" t="str">
            <v>Africa</v>
          </cell>
        </row>
        <row r="44">
          <cell r="C44" t="str">
            <v>Uzbekistan</v>
          </cell>
          <cell r="D44" t="str">
            <v>Tashkent</v>
          </cell>
          <cell r="E44" t="str">
            <v>Asia</v>
          </cell>
        </row>
        <row r="45">
          <cell r="C45" t="str">
            <v>Peru</v>
          </cell>
          <cell r="D45" t="str">
            <v>Lima</v>
          </cell>
          <cell r="E45" t="str">
            <v>South America</v>
          </cell>
        </row>
        <row r="46">
          <cell r="C46" t="str">
            <v>Malaysia</v>
          </cell>
          <cell r="D46" t="str">
            <v>Kuala Lumpur</v>
          </cell>
          <cell r="E46" t="str">
            <v>Asia</v>
          </cell>
        </row>
        <row r="47">
          <cell r="C47" t="str">
            <v>Yemen</v>
          </cell>
          <cell r="D47" t="str">
            <v>Sanaa</v>
          </cell>
          <cell r="E47" t="str">
            <v>Asia</v>
          </cell>
        </row>
        <row r="48">
          <cell r="C48" t="str">
            <v>Ghana</v>
          </cell>
          <cell r="D48" t="str">
            <v>Accra</v>
          </cell>
          <cell r="E48" t="str">
            <v>Africa</v>
          </cell>
        </row>
        <row r="49">
          <cell r="C49" t="str">
            <v>Mozambique</v>
          </cell>
          <cell r="D49" t="str">
            <v>Maputo</v>
          </cell>
          <cell r="E49" t="str">
            <v>Africa</v>
          </cell>
        </row>
        <row r="50">
          <cell r="C50" t="str">
            <v>Nepal</v>
          </cell>
          <cell r="D50" t="str">
            <v>Kathmandu</v>
          </cell>
          <cell r="E50" t="str">
            <v>Asia</v>
          </cell>
        </row>
        <row r="51">
          <cell r="C51" t="str">
            <v>Madagascar</v>
          </cell>
          <cell r="D51" t="str">
            <v>Antananarivo</v>
          </cell>
          <cell r="E51" t="str">
            <v>Africa</v>
          </cell>
        </row>
        <row r="52">
          <cell r="C52" t="str">
            <v>Venezuela</v>
          </cell>
          <cell r="D52" t="str">
            <v>Caracas</v>
          </cell>
          <cell r="E52" t="str">
            <v>South America</v>
          </cell>
        </row>
        <row r="53">
          <cell r="C53" t="str">
            <v>Ivory Coast</v>
          </cell>
          <cell r="D53" t="str">
            <v>Yamoussoukro</v>
          </cell>
          <cell r="E53" t="str">
            <v>Africa</v>
          </cell>
        </row>
        <row r="54">
          <cell r="C54" t="str">
            <v>Cameroon</v>
          </cell>
          <cell r="D54" t="str">
            <v>Yaounde</v>
          </cell>
          <cell r="E54" t="str">
            <v>Africa</v>
          </cell>
        </row>
        <row r="55">
          <cell r="C55" t="str">
            <v>Niger</v>
          </cell>
          <cell r="D55" t="str">
            <v>Niamey</v>
          </cell>
          <cell r="E55" t="str">
            <v>Africa</v>
          </cell>
        </row>
        <row r="56">
          <cell r="C56" t="str">
            <v>Australia</v>
          </cell>
          <cell r="D56" t="str">
            <v>Canberra</v>
          </cell>
          <cell r="E56" t="str">
            <v>Oceania</v>
          </cell>
        </row>
        <row r="57">
          <cell r="C57" t="str">
            <v>North Korea</v>
          </cell>
          <cell r="D57" t="str">
            <v>Pyongyang</v>
          </cell>
          <cell r="E57" t="str">
            <v>Asia</v>
          </cell>
        </row>
        <row r="58">
          <cell r="C58" t="str">
            <v>Taiwan</v>
          </cell>
          <cell r="D58" t="str">
            <v>Taipei</v>
          </cell>
          <cell r="E58" t="str">
            <v>Asia</v>
          </cell>
        </row>
        <row r="59">
          <cell r="C59" t="str">
            <v>Burkina Faso</v>
          </cell>
          <cell r="D59" t="str">
            <v>Ouagadougou</v>
          </cell>
          <cell r="E59" t="str">
            <v>Africa</v>
          </cell>
        </row>
        <row r="60">
          <cell r="C60" t="str">
            <v>Mali</v>
          </cell>
          <cell r="D60" t="str">
            <v>Bamako</v>
          </cell>
          <cell r="E60" t="str">
            <v>Africa</v>
          </cell>
        </row>
        <row r="61">
          <cell r="C61" t="str">
            <v>Syria</v>
          </cell>
          <cell r="D61" t="str">
            <v>Damascus</v>
          </cell>
          <cell r="E61" t="str">
            <v>Asia</v>
          </cell>
        </row>
        <row r="62">
          <cell r="C62" t="str">
            <v>Sri Lanka</v>
          </cell>
          <cell r="D62" t="str">
            <v>Colombo</v>
          </cell>
          <cell r="E62" t="str">
            <v>Asia</v>
          </cell>
        </row>
        <row r="63">
          <cell r="C63" t="str">
            <v>Malawi</v>
          </cell>
          <cell r="D63" t="str">
            <v>Lilongwe</v>
          </cell>
          <cell r="E63" t="str">
            <v>Africa</v>
          </cell>
        </row>
        <row r="64">
          <cell r="C64" t="str">
            <v>Zambia</v>
          </cell>
          <cell r="D64" t="str">
            <v>Lusaka</v>
          </cell>
          <cell r="E64" t="str">
            <v>Africa</v>
          </cell>
        </row>
        <row r="65">
          <cell r="C65" t="str">
            <v>Romania</v>
          </cell>
          <cell r="D65" t="str">
            <v>Bucharest</v>
          </cell>
          <cell r="E65" t="str">
            <v>Europe</v>
          </cell>
        </row>
        <row r="66">
          <cell r="C66" t="str">
            <v>Chile</v>
          </cell>
          <cell r="D66" t="str">
            <v>Santiago</v>
          </cell>
          <cell r="E66" t="str">
            <v>South America</v>
          </cell>
        </row>
        <row r="67">
          <cell r="C67" t="str">
            <v>Kazakhstan</v>
          </cell>
          <cell r="D67" t="str">
            <v>Nursultan</v>
          </cell>
          <cell r="E67" t="str">
            <v>Asia</v>
          </cell>
        </row>
        <row r="68">
          <cell r="C68" t="str">
            <v>Ecuador</v>
          </cell>
          <cell r="D68" t="str">
            <v>Quito</v>
          </cell>
          <cell r="E68" t="str">
            <v>South America</v>
          </cell>
        </row>
        <row r="69">
          <cell r="C69" t="str">
            <v>Guatemala</v>
          </cell>
          <cell r="D69" t="str">
            <v>Guatemala City</v>
          </cell>
          <cell r="E69" t="str">
            <v>North America</v>
          </cell>
        </row>
        <row r="70">
          <cell r="C70" t="str">
            <v>Chad</v>
          </cell>
          <cell r="D70" t="str">
            <v>N'Djamena</v>
          </cell>
          <cell r="E70" t="str">
            <v>Africa</v>
          </cell>
        </row>
        <row r="71">
          <cell r="C71" t="str">
            <v>Somalia</v>
          </cell>
          <cell r="D71" t="str">
            <v>Mogadishu</v>
          </cell>
          <cell r="E71" t="str">
            <v>Africa</v>
          </cell>
        </row>
        <row r="72">
          <cell r="C72" t="str">
            <v>Netherlands</v>
          </cell>
          <cell r="D72" t="str">
            <v>Amsterdam</v>
          </cell>
          <cell r="E72" t="str">
            <v>Europe</v>
          </cell>
        </row>
        <row r="73">
          <cell r="C73" t="str">
            <v>Senegal</v>
          </cell>
          <cell r="D73" t="str">
            <v>Dakar</v>
          </cell>
          <cell r="E73" t="str">
            <v>Africa</v>
          </cell>
        </row>
        <row r="74">
          <cell r="C74" t="str">
            <v>Cambodia</v>
          </cell>
          <cell r="D74" t="str">
            <v>Phnom Penh</v>
          </cell>
          <cell r="E74" t="str">
            <v>Asia</v>
          </cell>
        </row>
        <row r="75">
          <cell r="C75" t="str">
            <v>Zimbabwe</v>
          </cell>
          <cell r="D75" t="str">
            <v>Harare</v>
          </cell>
          <cell r="E75" t="str">
            <v>Africa</v>
          </cell>
        </row>
        <row r="76">
          <cell r="C76" t="str">
            <v>Guinea</v>
          </cell>
          <cell r="D76" t="str">
            <v>Conakry</v>
          </cell>
          <cell r="E76" t="str">
            <v>Africa</v>
          </cell>
        </row>
        <row r="77">
          <cell r="C77" t="str">
            <v>Rwanda</v>
          </cell>
          <cell r="D77" t="str">
            <v>Kigali</v>
          </cell>
          <cell r="E77" t="str">
            <v>Africa</v>
          </cell>
        </row>
        <row r="78">
          <cell r="C78" t="str">
            <v>Benin</v>
          </cell>
          <cell r="D78" t="str">
            <v>Porto-Novo</v>
          </cell>
          <cell r="E78" t="str">
            <v>Africa</v>
          </cell>
        </row>
        <row r="79">
          <cell r="C79" t="str">
            <v>Burundi</v>
          </cell>
          <cell r="D79" t="str">
            <v>Bujumbura</v>
          </cell>
          <cell r="E79" t="str">
            <v>Africa</v>
          </cell>
        </row>
        <row r="80">
          <cell r="C80" t="str">
            <v>Tunisia</v>
          </cell>
          <cell r="D80" t="str">
            <v>Tunis</v>
          </cell>
          <cell r="E80" t="str">
            <v>Africa</v>
          </cell>
        </row>
        <row r="81">
          <cell r="C81" t="str">
            <v>Bolivia</v>
          </cell>
          <cell r="D81" t="str">
            <v>Sucre</v>
          </cell>
          <cell r="E81" t="str">
            <v>South America</v>
          </cell>
        </row>
        <row r="82">
          <cell r="C82" t="str">
            <v>Belgium</v>
          </cell>
          <cell r="D82" t="str">
            <v>Brussels</v>
          </cell>
          <cell r="E82" t="str">
            <v>Europe</v>
          </cell>
        </row>
        <row r="83">
          <cell r="C83" t="str">
            <v>Haiti</v>
          </cell>
          <cell r="D83" t="str">
            <v>Port-au-Prince</v>
          </cell>
          <cell r="E83" t="str">
            <v>North America</v>
          </cell>
        </row>
        <row r="84">
          <cell r="C84" t="str">
            <v>Jordan</v>
          </cell>
          <cell r="D84" t="str">
            <v>Amman</v>
          </cell>
          <cell r="E84" t="str">
            <v>Asia</v>
          </cell>
        </row>
        <row r="85">
          <cell r="C85" t="str">
            <v>Dominican Republic</v>
          </cell>
          <cell r="D85" t="str">
            <v>Santo Domingo</v>
          </cell>
          <cell r="E85" t="str">
            <v>North America</v>
          </cell>
        </row>
        <row r="86">
          <cell r="C86" t="str">
            <v>Cuba</v>
          </cell>
          <cell r="D86" t="str">
            <v>Havana</v>
          </cell>
          <cell r="E86" t="str">
            <v>North America</v>
          </cell>
        </row>
        <row r="87">
          <cell r="C87" t="str">
            <v>South Sudan</v>
          </cell>
          <cell r="D87" t="str">
            <v>Juba</v>
          </cell>
          <cell r="E87" t="str">
            <v>Africa</v>
          </cell>
        </row>
        <row r="88">
          <cell r="C88" t="str">
            <v>Sweden</v>
          </cell>
          <cell r="D88" t="str">
            <v>Stockholm</v>
          </cell>
          <cell r="E88" t="str">
            <v>Europe</v>
          </cell>
        </row>
        <row r="89">
          <cell r="C89" t="str">
            <v>Czech Republic</v>
          </cell>
          <cell r="D89" t="str">
            <v>Prague</v>
          </cell>
          <cell r="E89" t="str">
            <v>Europe</v>
          </cell>
        </row>
        <row r="90">
          <cell r="C90" t="str">
            <v>Honduras</v>
          </cell>
          <cell r="D90" t="str">
            <v>Tegucigalpa</v>
          </cell>
          <cell r="E90" t="str">
            <v>North America</v>
          </cell>
        </row>
        <row r="91">
          <cell r="C91" t="str">
            <v>Greece</v>
          </cell>
          <cell r="D91" t="str">
            <v>Athens</v>
          </cell>
          <cell r="E91" t="str">
            <v>Europe</v>
          </cell>
        </row>
        <row r="92">
          <cell r="C92" t="str">
            <v>Azerbaijan</v>
          </cell>
          <cell r="D92" t="str">
            <v>Baku</v>
          </cell>
          <cell r="E92" t="str">
            <v>Asia</v>
          </cell>
        </row>
        <row r="93">
          <cell r="C93" t="str">
            <v>Portugal</v>
          </cell>
          <cell r="D93" t="str">
            <v>Lisbon</v>
          </cell>
          <cell r="E93" t="str">
            <v>Europe</v>
          </cell>
        </row>
        <row r="94">
          <cell r="C94" t="str">
            <v>Papua New Guinea</v>
          </cell>
          <cell r="D94" t="str">
            <v>Port Moresby</v>
          </cell>
          <cell r="E94" t="str">
            <v>Oceania</v>
          </cell>
        </row>
        <row r="95">
          <cell r="C95" t="str">
            <v>Hungary</v>
          </cell>
          <cell r="D95" t="str">
            <v>Budapest</v>
          </cell>
          <cell r="E95" t="str">
            <v>Europe</v>
          </cell>
        </row>
        <row r="96">
          <cell r="C96" t="str">
            <v>Tajikistan</v>
          </cell>
          <cell r="D96" t="str">
            <v>Dushanbe</v>
          </cell>
          <cell r="E96" t="str">
            <v>Asia</v>
          </cell>
        </row>
        <row r="97">
          <cell r="C97" t="str">
            <v>Belarus</v>
          </cell>
          <cell r="D97" t="str">
            <v>Minsk</v>
          </cell>
          <cell r="E97" t="str">
            <v>Europe</v>
          </cell>
        </row>
        <row r="98">
          <cell r="C98" t="str">
            <v>United Arab Emirates</v>
          </cell>
          <cell r="D98" t="str">
            <v>Abu Dhabi</v>
          </cell>
          <cell r="E98" t="str">
            <v>Asia</v>
          </cell>
        </row>
        <row r="99">
          <cell r="C99" t="str">
            <v>Israel</v>
          </cell>
          <cell r="D99" t="str">
            <v>Jerusalem</v>
          </cell>
          <cell r="E99" t="str">
            <v>Asia</v>
          </cell>
        </row>
        <row r="100">
          <cell r="C100" t="str">
            <v>Austria</v>
          </cell>
          <cell r="D100" t="str">
            <v>Vienna</v>
          </cell>
          <cell r="E100" t="str">
            <v>Europe</v>
          </cell>
        </row>
        <row r="101">
          <cell r="C101" t="str">
            <v>Togo</v>
          </cell>
          <cell r="D101" t="str">
            <v>LomÃ©</v>
          </cell>
          <cell r="E101" t="str">
            <v>Africa</v>
          </cell>
        </row>
        <row r="102">
          <cell r="C102" t="str">
            <v>Switzerland</v>
          </cell>
          <cell r="D102" t="str">
            <v>Bern</v>
          </cell>
          <cell r="E102" t="str">
            <v>Europe</v>
          </cell>
        </row>
        <row r="103">
          <cell r="C103" t="str">
            <v>Sierra Leone</v>
          </cell>
          <cell r="D103" t="str">
            <v>Freetown</v>
          </cell>
          <cell r="E103" t="str">
            <v>Africa</v>
          </cell>
        </row>
        <row r="104">
          <cell r="C104" t="str">
            <v>Laos</v>
          </cell>
          <cell r="D104" t="str">
            <v>Vientiane</v>
          </cell>
          <cell r="E104" t="str">
            <v>Asia</v>
          </cell>
        </row>
        <row r="105">
          <cell r="C105" t="str">
            <v>Hong Kong</v>
          </cell>
          <cell r="D105" t="str">
            <v>Hong Kong</v>
          </cell>
          <cell r="E105" t="str">
            <v>Asia</v>
          </cell>
        </row>
        <row r="106">
          <cell r="C106" t="str">
            <v>Serbia</v>
          </cell>
          <cell r="D106" t="str">
            <v>Belgrade</v>
          </cell>
          <cell r="E106" t="str">
            <v>Europe</v>
          </cell>
        </row>
        <row r="107">
          <cell r="C107" t="str">
            <v>Nicaragua</v>
          </cell>
          <cell r="D107" t="str">
            <v>Managua</v>
          </cell>
          <cell r="E107" t="str">
            <v>North America</v>
          </cell>
        </row>
        <row r="108">
          <cell r="C108" t="str">
            <v>Libya</v>
          </cell>
          <cell r="D108" t="str">
            <v>Tripoli</v>
          </cell>
          <cell r="E108" t="str">
            <v>Africa</v>
          </cell>
        </row>
        <row r="109">
          <cell r="C109" t="str">
            <v>Bulgaria</v>
          </cell>
          <cell r="D109" t="str">
            <v>Sofia</v>
          </cell>
          <cell r="E109" t="str">
            <v>Europe</v>
          </cell>
        </row>
        <row r="110">
          <cell r="C110" t="str">
            <v>Paraguay</v>
          </cell>
          <cell r="D110" t="str">
            <v>AsunciÃ³n</v>
          </cell>
          <cell r="E110" t="str">
            <v>South America</v>
          </cell>
        </row>
        <row r="111">
          <cell r="C111" t="str">
            <v>Kyrgyzstan</v>
          </cell>
          <cell r="D111" t="str">
            <v>Bishkek</v>
          </cell>
          <cell r="E111" t="str">
            <v>Asia</v>
          </cell>
        </row>
        <row r="112">
          <cell r="C112" t="str">
            <v>Turkmenistan</v>
          </cell>
          <cell r="D112" t="str">
            <v>Ashgabat</v>
          </cell>
          <cell r="E112" t="str">
            <v>Asia</v>
          </cell>
        </row>
        <row r="113">
          <cell r="C113" t="str">
            <v>El Salvador</v>
          </cell>
          <cell r="D113" t="str">
            <v>San Salvador</v>
          </cell>
          <cell r="E113" t="str">
            <v>North America</v>
          </cell>
        </row>
        <row r="114">
          <cell r="C114" t="str">
            <v>Singapore</v>
          </cell>
          <cell r="D114" t="str">
            <v>Singapore</v>
          </cell>
          <cell r="E114" t="str">
            <v>Asia</v>
          </cell>
        </row>
        <row r="115">
          <cell r="C115" t="str">
            <v>Republic of the Congo</v>
          </cell>
          <cell r="D115" t="str">
            <v>Brazzaville</v>
          </cell>
          <cell r="E115" t="str">
            <v>Africa</v>
          </cell>
        </row>
        <row r="116">
          <cell r="C116" t="str">
            <v>Denmark</v>
          </cell>
          <cell r="D116" t="str">
            <v>Copenhagen</v>
          </cell>
          <cell r="E116" t="str">
            <v>Europe</v>
          </cell>
        </row>
        <row r="117">
          <cell r="C117" t="str">
            <v>Slovakia</v>
          </cell>
          <cell r="D117" t="str">
            <v>Bratislava</v>
          </cell>
          <cell r="E117" t="str">
            <v>Europe</v>
          </cell>
        </row>
        <row r="118">
          <cell r="C118" t="str">
            <v>Central African Republic</v>
          </cell>
          <cell r="D118" t="str">
            <v>Bangui</v>
          </cell>
          <cell r="E118" t="str">
            <v>Africa</v>
          </cell>
        </row>
        <row r="119">
          <cell r="C119" t="str">
            <v>Finland</v>
          </cell>
          <cell r="D119" t="str">
            <v>Helsinki</v>
          </cell>
          <cell r="E119" t="str">
            <v>Europe</v>
          </cell>
        </row>
        <row r="120">
          <cell r="C120" t="str">
            <v>Lebanon</v>
          </cell>
          <cell r="D120" t="str">
            <v>Beirut</v>
          </cell>
          <cell r="E120" t="str">
            <v>Asia</v>
          </cell>
        </row>
        <row r="121">
          <cell r="C121" t="str">
            <v>Norway</v>
          </cell>
          <cell r="D121" t="str">
            <v>Oslo</v>
          </cell>
          <cell r="E121" t="str">
            <v>Europe</v>
          </cell>
        </row>
        <row r="122">
          <cell r="C122" t="str">
            <v>Liberia</v>
          </cell>
          <cell r="D122" t="str">
            <v>Monrovia</v>
          </cell>
          <cell r="E122" t="str">
            <v>Africa</v>
          </cell>
        </row>
        <row r="123">
          <cell r="C123" t="str">
            <v>Palestine</v>
          </cell>
          <cell r="D123" t="str">
            <v>Ramallah</v>
          </cell>
          <cell r="E123" t="str">
            <v>Asia</v>
          </cell>
        </row>
        <row r="124">
          <cell r="C124" t="str">
            <v>New Zealand</v>
          </cell>
          <cell r="D124" t="str">
            <v>Wellington</v>
          </cell>
          <cell r="E124" t="str">
            <v>Oceania</v>
          </cell>
        </row>
        <row r="125">
          <cell r="C125" t="str">
            <v>Costa Rica</v>
          </cell>
          <cell r="D125" t="str">
            <v>San JosÃ©</v>
          </cell>
          <cell r="E125" t="str">
            <v>North America</v>
          </cell>
        </row>
        <row r="126">
          <cell r="C126" t="str">
            <v>Ireland</v>
          </cell>
          <cell r="D126" t="str">
            <v>Dublin</v>
          </cell>
          <cell r="E126" t="str">
            <v>Europe</v>
          </cell>
        </row>
        <row r="127">
          <cell r="C127" t="str">
            <v>Mauritania</v>
          </cell>
          <cell r="D127" t="str">
            <v>Nouakchott</v>
          </cell>
          <cell r="E127" t="str">
            <v>Africa</v>
          </cell>
        </row>
        <row r="128">
          <cell r="C128" t="str">
            <v>Oman</v>
          </cell>
          <cell r="D128" t="str">
            <v>Muscat</v>
          </cell>
          <cell r="E128" t="str">
            <v>Asia</v>
          </cell>
        </row>
        <row r="129">
          <cell r="C129" t="str">
            <v>Panama</v>
          </cell>
          <cell r="D129" t="str">
            <v>Panama City</v>
          </cell>
          <cell r="E129" t="str">
            <v>North America</v>
          </cell>
        </row>
        <row r="130">
          <cell r="C130" t="str">
            <v>Kuwait</v>
          </cell>
          <cell r="D130" t="str">
            <v>Kuwait City</v>
          </cell>
          <cell r="E130" t="str">
            <v>Asia</v>
          </cell>
        </row>
        <row r="131">
          <cell r="C131" t="str">
            <v>Croatia</v>
          </cell>
          <cell r="D131" t="str">
            <v>Zagreb</v>
          </cell>
          <cell r="E131" t="str">
            <v>Europe</v>
          </cell>
        </row>
        <row r="132">
          <cell r="C132" t="str">
            <v>Georgia</v>
          </cell>
          <cell r="D132" t="str">
            <v>Tbilisi</v>
          </cell>
          <cell r="E132" t="str">
            <v>Asia</v>
          </cell>
        </row>
        <row r="133">
          <cell r="C133" t="str">
            <v>Eritrea</v>
          </cell>
          <cell r="D133" t="str">
            <v>Asmara</v>
          </cell>
          <cell r="E133" t="str">
            <v>Africa</v>
          </cell>
        </row>
        <row r="134">
          <cell r="C134" t="str">
            <v>Uruguay</v>
          </cell>
          <cell r="D134" t="str">
            <v>Montevideo</v>
          </cell>
          <cell r="E134" t="str">
            <v>South America</v>
          </cell>
        </row>
        <row r="135">
          <cell r="C135" t="str">
            <v>Mongolia</v>
          </cell>
          <cell r="D135" t="str">
            <v>Ulaanbaatar</v>
          </cell>
          <cell r="E135" t="str">
            <v>Asia</v>
          </cell>
        </row>
        <row r="136">
          <cell r="C136" t="str">
            <v>Moldova</v>
          </cell>
          <cell r="D136" t="str">
            <v>Chisinau</v>
          </cell>
          <cell r="E136" t="str">
            <v>Europe</v>
          </cell>
        </row>
        <row r="137">
          <cell r="C137" t="str">
            <v>Puerto Rico</v>
          </cell>
          <cell r="D137" t="str">
            <v>San Juan</v>
          </cell>
          <cell r="E137" t="str">
            <v>North America</v>
          </cell>
        </row>
        <row r="138">
          <cell r="C138" t="str">
            <v>Bosnia and Herzegovina</v>
          </cell>
          <cell r="D138" t="str">
            <v>Sarajevo</v>
          </cell>
          <cell r="E138" t="str">
            <v>Europe</v>
          </cell>
        </row>
        <row r="139">
          <cell r="C139" t="str">
            <v>Albania</v>
          </cell>
          <cell r="D139" t="str">
            <v>Tirana</v>
          </cell>
          <cell r="E139" t="str">
            <v>Europe</v>
          </cell>
        </row>
        <row r="140">
          <cell r="C140" t="str">
            <v>Jamaica</v>
          </cell>
          <cell r="D140" t="str">
            <v>Kingston</v>
          </cell>
          <cell r="E140" t="str">
            <v>North America</v>
          </cell>
        </row>
        <row r="141">
          <cell r="C141" t="str">
            <v>Armenia</v>
          </cell>
          <cell r="D141" t="str">
            <v>Yerevan</v>
          </cell>
          <cell r="E141" t="str">
            <v>Asia</v>
          </cell>
        </row>
        <row r="142">
          <cell r="C142" t="str">
            <v>Lithuania</v>
          </cell>
          <cell r="D142" t="str">
            <v>Vilnius</v>
          </cell>
          <cell r="E142" t="str">
            <v>Europe</v>
          </cell>
        </row>
        <row r="143">
          <cell r="C143" t="str">
            <v>Gambia</v>
          </cell>
          <cell r="D143" t="str">
            <v>Banjul</v>
          </cell>
          <cell r="E143" t="str">
            <v>Africa</v>
          </cell>
        </row>
        <row r="144">
          <cell r="C144" t="str">
            <v>Qatar</v>
          </cell>
          <cell r="D144" t="str">
            <v>Doha</v>
          </cell>
          <cell r="E144" t="str">
            <v>Asia</v>
          </cell>
        </row>
        <row r="145">
          <cell r="C145" t="str">
            <v>Botswana</v>
          </cell>
          <cell r="D145" t="str">
            <v>Gaborone</v>
          </cell>
          <cell r="E145" t="str">
            <v>Africa</v>
          </cell>
        </row>
        <row r="146">
          <cell r="C146" t="str">
            <v>Namibia</v>
          </cell>
          <cell r="D146" t="str">
            <v>Windhoek</v>
          </cell>
          <cell r="E146" t="str">
            <v>Africa</v>
          </cell>
        </row>
        <row r="147">
          <cell r="C147" t="str">
            <v>Gabon</v>
          </cell>
          <cell r="D147" t="str">
            <v>Libreville</v>
          </cell>
          <cell r="E147" t="str">
            <v>Africa</v>
          </cell>
        </row>
        <row r="148">
          <cell r="C148" t="str">
            <v>Lesotho</v>
          </cell>
          <cell r="D148" t="str">
            <v>Maseru</v>
          </cell>
          <cell r="E148" t="str">
            <v>Africa</v>
          </cell>
        </row>
        <row r="149">
          <cell r="C149" t="str">
            <v>Slovenia</v>
          </cell>
          <cell r="D149" t="str">
            <v>Ljubljana</v>
          </cell>
          <cell r="E149" t="str">
            <v>Europe</v>
          </cell>
        </row>
        <row r="150">
          <cell r="C150" t="str">
            <v>Guinea-Bissau</v>
          </cell>
          <cell r="D150" t="str">
            <v>Bissau</v>
          </cell>
          <cell r="E150" t="str">
            <v>Africa</v>
          </cell>
        </row>
        <row r="151">
          <cell r="C151" t="str">
            <v>North Macedonia</v>
          </cell>
          <cell r="D151" t="str">
            <v>Skopje</v>
          </cell>
          <cell r="E151" t="str">
            <v>Europe</v>
          </cell>
        </row>
        <row r="152">
          <cell r="C152" t="str">
            <v>Latvia</v>
          </cell>
          <cell r="D152" t="str">
            <v>Riga</v>
          </cell>
          <cell r="E152" t="str">
            <v>Europe</v>
          </cell>
        </row>
        <row r="153">
          <cell r="C153" t="str">
            <v>Equatorial Guinea</v>
          </cell>
          <cell r="D153" t="str">
            <v>Malabo</v>
          </cell>
          <cell r="E153" t="str">
            <v>Africa</v>
          </cell>
        </row>
        <row r="154">
          <cell r="C154" t="str">
            <v>Trinidad and Tobago</v>
          </cell>
          <cell r="D154" t="str">
            <v>Port-of-Spain</v>
          </cell>
          <cell r="E154" t="str">
            <v>North America</v>
          </cell>
        </row>
        <row r="155">
          <cell r="C155" t="str">
            <v>Bahrain</v>
          </cell>
          <cell r="D155" t="str">
            <v>Manama</v>
          </cell>
          <cell r="E155" t="str">
            <v>Asia</v>
          </cell>
        </row>
        <row r="156">
          <cell r="C156" t="str">
            <v>Timor-Leste</v>
          </cell>
          <cell r="D156" t="str">
            <v>Dili</v>
          </cell>
          <cell r="E156" t="str">
            <v>Asia</v>
          </cell>
        </row>
        <row r="157">
          <cell r="C157" t="str">
            <v>Estonia</v>
          </cell>
          <cell r="D157" t="str">
            <v>Tallinn</v>
          </cell>
          <cell r="E157" t="str">
            <v>Europe</v>
          </cell>
        </row>
        <row r="158">
          <cell r="C158" t="str">
            <v>Mauritius</v>
          </cell>
          <cell r="D158" t="str">
            <v>Port Louis</v>
          </cell>
          <cell r="E158" t="str">
            <v>Africa</v>
          </cell>
        </row>
        <row r="159">
          <cell r="C159" t="str">
            <v>Cyprus</v>
          </cell>
          <cell r="D159" t="str">
            <v>Nicosia</v>
          </cell>
          <cell r="E159" t="str">
            <v>Europe</v>
          </cell>
        </row>
        <row r="160">
          <cell r="C160" t="str">
            <v>Eswatini</v>
          </cell>
          <cell r="D160" t="str">
            <v>Mbabane</v>
          </cell>
          <cell r="E160" t="str">
            <v>Africa</v>
          </cell>
        </row>
        <row r="161">
          <cell r="C161" t="str">
            <v>Djibouti</v>
          </cell>
          <cell r="D161" t="str">
            <v>Djibouti</v>
          </cell>
          <cell r="E161" t="str">
            <v>Africa</v>
          </cell>
        </row>
        <row r="162">
          <cell r="C162" t="str">
            <v>Reunion</v>
          </cell>
          <cell r="D162" t="str">
            <v>Saint-Denis</v>
          </cell>
          <cell r="E162" t="str">
            <v>Africa</v>
          </cell>
        </row>
        <row r="163">
          <cell r="C163" t="str">
            <v>Fiji</v>
          </cell>
          <cell r="D163" t="str">
            <v>Suva</v>
          </cell>
          <cell r="E163" t="str">
            <v>Oceania</v>
          </cell>
        </row>
        <row r="164">
          <cell r="C164" t="str">
            <v>Comoros</v>
          </cell>
          <cell r="D164" t="str">
            <v>Moroni</v>
          </cell>
          <cell r="E164" t="str">
            <v>Africa</v>
          </cell>
        </row>
        <row r="165">
          <cell r="C165" t="str">
            <v>Guyana</v>
          </cell>
          <cell r="D165" t="str">
            <v>Georgetown</v>
          </cell>
          <cell r="E165" t="str">
            <v>South America</v>
          </cell>
        </row>
        <row r="166">
          <cell r="C166" t="str">
            <v>Bhutan</v>
          </cell>
          <cell r="D166" t="str">
            <v>Thimphu</v>
          </cell>
          <cell r="E166" t="str">
            <v>Asia</v>
          </cell>
        </row>
        <row r="167">
          <cell r="C167" t="str">
            <v>Solomon Islands</v>
          </cell>
          <cell r="D167" t="str">
            <v>Honiara</v>
          </cell>
          <cell r="E167" t="str">
            <v>Oceania</v>
          </cell>
        </row>
        <row r="168">
          <cell r="C168" t="str">
            <v>Macau</v>
          </cell>
          <cell r="D168" t="str">
            <v>Concelho de Macau</v>
          </cell>
          <cell r="E168" t="str">
            <v>Asia</v>
          </cell>
        </row>
        <row r="169">
          <cell r="C169" t="str">
            <v>Luxembourg</v>
          </cell>
          <cell r="D169" t="str">
            <v>Luxembourg</v>
          </cell>
          <cell r="E169" t="str">
            <v>Europe</v>
          </cell>
        </row>
        <row r="170">
          <cell r="C170" t="str">
            <v>Montenegro</v>
          </cell>
          <cell r="D170" t="str">
            <v>Podgorica</v>
          </cell>
          <cell r="E170" t="str">
            <v>Europe</v>
          </cell>
        </row>
        <row r="171">
          <cell r="C171" t="str">
            <v>Suriname</v>
          </cell>
          <cell r="D171" t="str">
            <v>Paramaribo</v>
          </cell>
          <cell r="E171" t="str">
            <v>South America</v>
          </cell>
        </row>
        <row r="172">
          <cell r="C172" t="str">
            <v>Cape Verde</v>
          </cell>
          <cell r="D172" t="str">
            <v>Praia</v>
          </cell>
          <cell r="E172" t="str">
            <v>Africa</v>
          </cell>
        </row>
        <row r="173">
          <cell r="C173" t="str">
            <v>Western Sahara</v>
          </cell>
          <cell r="D173" t="str">
            <v>El AaiÃºn</v>
          </cell>
          <cell r="E173" t="str">
            <v>Africa</v>
          </cell>
        </row>
        <row r="174">
          <cell r="C174" t="str">
            <v>Malta</v>
          </cell>
          <cell r="D174" t="str">
            <v>Valletta</v>
          </cell>
          <cell r="E174" t="str">
            <v>Europe</v>
          </cell>
        </row>
        <row r="175">
          <cell r="C175" t="str">
            <v>Maldives</v>
          </cell>
          <cell r="D175" t="str">
            <v>MalÃ©</v>
          </cell>
          <cell r="E175" t="str">
            <v>Asia</v>
          </cell>
        </row>
        <row r="176">
          <cell r="C176" t="str">
            <v>Brunei</v>
          </cell>
          <cell r="D176" t="str">
            <v>Bandar Seri Begawan</v>
          </cell>
          <cell r="E176" t="str">
            <v>Asia</v>
          </cell>
        </row>
        <row r="177">
          <cell r="C177" t="str">
            <v>Bahamas</v>
          </cell>
          <cell r="D177" t="str">
            <v>Nassau</v>
          </cell>
          <cell r="E177" t="str">
            <v>North America</v>
          </cell>
        </row>
        <row r="178">
          <cell r="C178" t="str">
            <v>Belize</v>
          </cell>
          <cell r="D178" t="str">
            <v>Belmopan</v>
          </cell>
          <cell r="E178" t="str">
            <v>North America</v>
          </cell>
        </row>
        <row r="179">
          <cell r="C179" t="str">
            <v>Guadeloupe</v>
          </cell>
          <cell r="D179" t="str">
            <v>Basse-Terre</v>
          </cell>
          <cell r="E179" t="str">
            <v>North America</v>
          </cell>
        </row>
        <row r="180">
          <cell r="C180" t="str">
            <v>Iceland</v>
          </cell>
          <cell r="D180" t="str">
            <v>ReykjavÃ­k</v>
          </cell>
          <cell r="E180" t="str">
            <v>Europe</v>
          </cell>
        </row>
        <row r="181">
          <cell r="C181" t="str">
            <v>Martinique</v>
          </cell>
          <cell r="D181" t="str">
            <v>Fort-de-France</v>
          </cell>
          <cell r="E181" t="str">
            <v>North America</v>
          </cell>
        </row>
        <row r="182">
          <cell r="C182" t="str">
            <v>Vanuatu</v>
          </cell>
          <cell r="D182" t="str">
            <v>Port-Vila</v>
          </cell>
          <cell r="E182" t="str">
            <v>Oceania</v>
          </cell>
        </row>
        <row r="183">
          <cell r="C183" t="str">
            <v>Mayotte</v>
          </cell>
          <cell r="D183" t="str">
            <v>Mamoudzou</v>
          </cell>
          <cell r="E183" t="str">
            <v>Africa</v>
          </cell>
        </row>
        <row r="184">
          <cell r="C184" t="str">
            <v>French Polynesia</v>
          </cell>
          <cell r="D184" t="str">
            <v>Papeete</v>
          </cell>
          <cell r="E184" t="str">
            <v>Oceania</v>
          </cell>
        </row>
        <row r="185">
          <cell r="C185" t="str">
            <v>French Guiana</v>
          </cell>
          <cell r="D185" t="str">
            <v>Cayenne</v>
          </cell>
          <cell r="E185" t="str">
            <v>South America</v>
          </cell>
        </row>
        <row r="186">
          <cell r="C186" t="str">
            <v>New Caledonia</v>
          </cell>
          <cell r="D186" t="str">
            <v>NoumÃ©a</v>
          </cell>
          <cell r="E186" t="str">
            <v>Oceania</v>
          </cell>
        </row>
        <row r="187">
          <cell r="C187" t="str">
            <v>Barbados</v>
          </cell>
          <cell r="D187" t="str">
            <v>Bridgetown</v>
          </cell>
          <cell r="E187" t="str">
            <v>North America</v>
          </cell>
        </row>
        <row r="188">
          <cell r="C188" t="str">
            <v>Sao Tome and Principe</v>
          </cell>
          <cell r="D188" t="str">
            <v>SÃ£o TomÃ©</v>
          </cell>
          <cell r="E188" t="str">
            <v>Africa</v>
          </cell>
        </row>
        <row r="189">
          <cell r="C189" t="str">
            <v>Samoa</v>
          </cell>
          <cell r="D189" t="str">
            <v>Apia</v>
          </cell>
          <cell r="E189" t="str">
            <v>Oceania</v>
          </cell>
        </row>
        <row r="190">
          <cell r="C190" t="str">
            <v>Curacao</v>
          </cell>
          <cell r="D190" t="str">
            <v>Willemstad</v>
          </cell>
          <cell r="E190" t="str">
            <v>North America</v>
          </cell>
        </row>
        <row r="191">
          <cell r="C191" t="str">
            <v>Saint Lucia</v>
          </cell>
          <cell r="D191" t="str">
            <v>Castries</v>
          </cell>
          <cell r="E191" t="str">
            <v>North America</v>
          </cell>
        </row>
        <row r="192">
          <cell r="C192" t="str">
            <v>Guam</v>
          </cell>
          <cell r="D192" t="str">
            <v>HagÃ¥tÃ±a</v>
          </cell>
          <cell r="E192" t="str">
            <v>Oceania</v>
          </cell>
        </row>
        <row r="193">
          <cell r="C193" t="str">
            <v>Kiribati</v>
          </cell>
          <cell r="D193" t="str">
            <v>Tarawa</v>
          </cell>
          <cell r="E193" t="str">
            <v>Oceania</v>
          </cell>
        </row>
        <row r="194">
          <cell r="C194" t="str">
            <v>Grenada</v>
          </cell>
          <cell r="D194" t="str">
            <v>Saint George's</v>
          </cell>
          <cell r="E194" t="str">
            <v>North America</v>
          </cell>
        </row>
        <row r="195">
          <cell r="C195" t="str">
            <v>Micronesia</v>
          </cell>
          <cell r="D195" t="str">
            <v>Palikir</v>
          </cell>
          <cell r="E195" t="str">
            <v>Oceania</v>
          </cell>
        </row>
        <row r="196">
          <cell r="C196" t="str">
            <v>Jersey</v>
          </cell>
          <cell r="D196" t="str">
            <v>Saint Helier</v>
          </cell>
          <cell r="E196" t="str">
            <v>Europe</v>
          </cell>
        </row>
        <row r="197">
          <cell r="C197" t="str">
            <v>Seychelles</v>
          </cell>
          <cell r="D197" t="str">
            <v>Victoria</v>
          </cell>
          <cell r="E197" t="str">
            <v>Africa</v>
          </cell>
        </row>
        <row r="198">
          <cell r="C198" t="str">
            <v>Tonga</v>
          </cell>
          <cell r="D198" t="str">
            <v>Nukuâ€˜alofa</v>
          </cell>
          <cell r="E198" t="str">
            <v>Oceania</v>
          </cell>
        </row>
        <row r="199">
          <cell r="C199" t="str">
            <v>Aruba</v>
          </cell>
          <cell r="D199" t="str">
            <v>Oranjestad</v>
          </cell>
          <cell r="E199" t="str">
            <v>North America</v>
          </cell>
        </row>
        <row r="200">
          <cell r="C200" t="str">
            <v>Saint Vincent and the Grenadines</v>
          </cell>
          <cell r="D200" t="str">
            <v>Kingstown</v>
          </cell>
          <cell r="E200" t="str">
            <v>North America</v>
          </cell>
        </row>
        <row r="201">
          <cell r="C201" t="str">
            <v>United States Virgin Islands</v>
          </cell>
          <cell r="D201" t="str">
            <v>Charlotte Amalie</v>
          </cell>
          <cell r="E201" t="str">
            <v>North America</v>
          </cell>
        </row>
        <row r="202">
          <cell r="C202" t="str">
            <v>Antigua and Barbuda</v>
          </cell>
          <cell r="D202" t="str">
            <v>Saint Johnâ€™s</v>
          </cell>
          <cell r="E202" t="str">
            <v>North America</v>
          </cell>
        </row>
        <row r="203">
          <cell r="C203" t="str">
            <v>Isle of Man</v>
          </cell>
          <cell r="D203" t="str">
            <v>Douglas</v>
          </cell>
          <cell r="E203" t="str">
            <v>Europe</v>
          </cell>
        </row>
        <row r="204">
          <cell r="C204" t="str">
            <v>Andorra</v>
          </cell>
          <cell r="D204" t="str">
            <v>Andorra la Vella</v>
          </cell>
          <cell r="E204" t="str">
            <v>Europe</v>
          </cell>
        </row>
        <row r="205">
          <cell r="C205" t="str">
            <v>Dominica</v>
          </cell>
          <cell r="D205" t="str">
            <v>Roseau</v>
          </cell>
          <cell r="E205" t="str">
            <v>North America</v>
          </cell>
        </row>
        <row r="206">
          <cell r="C206" t="str">
            <v>Cayman Islands</v>
          </cell>
          <cell r="D206" t="str">
            <v>George Town</v>
          </cell>
          <cell r="E206" t="str">
            <v>North America</v>
          </cell>
        </row>
        <row r="207">
          <cell r="C207" t="str">
            <v>Bermuda</v>
          </cell>
          <cell r="D207" t="str">
            <v>Hamilton</v>
          </cell>
          <cell r="E207" t="str">
            <v>North America</v>
          </cell>
        </row>
        <row r="208">
          <cell r="C208" t="str">
            <v>Guernsey</v>
          </cell>
          <cell r="D208" t="str">
            <v>Saint Peter Port</v>
          </cell>
          <cell r="E208" t="str">
            <v>Europe</v>
          </cell>
        </row>
        <row r="209">
          <cell r="C209" t="str">
            <v>Greenland</v>
          </cell>
          <cell r="D209" t="str">
            <v>Nuuk</v>
          </cell>
          <cell r="E209" t="str">
            <v>North America</v>
          </cell>
        </row>
        <row r="210">
          <cell r="C210" t="str">
            <v>Faroe Islands</v>
          </cell>
          <cell r="D210" t="str">
            <v>TÃ³rshavn</v>
          </cell>
          <cell r="E210" t="str">
            <v>Europe</v>
          </cell>
        </row>
        <row r="211">
          <cell r="C211" t="str">
            <v>Northern Mariana Islands</v>
          </cell>
          <cell r="D211" t="str">
            <v>Saipan</v>
          </cell>
          <cell r="E211" t="str">
            <v>Oceania</v>
          </cell>
        </row>
        <row r="212">
          <cell r="C212" t="str">
            <v>Saint Kitts and Nevis</v>
          </cell>
          <cell r="D212" t="str">
            <v>Basseterre</v>
          </cell>
          <cell r="E212" t="str">
            <v>North America</v>
          </cell>
        </row>
        <row r="213">
          <cell r="C213" t="str">
            <v>Turks and Caicos Islands</v>
          </cell>
          <cell r="D213" t="str">
            <v>Cockburn Town</v>
          </cell>
          <cell r="E213" t="str">
            <v>North America</v>
          </cell>
        </row>
        <row r="214">
          <cell r="C214" t="str">
            <v>American Samoa</v>
          </cell>
          <cell r="D214" t="str">
            <v>Pago Pago</v>
          </cell>
          <cell r="E214" t="str">
            <v>Oceania</v>
          </cell>
        </row>
        <row r="215">
          <cell r="C215" t="str">
            <v>Sint Maarten</v>
          </cell>
          <cell r="D215" t="str">
            <v>Philipsburg</v>
          </cell>
          <cell r="E215" t="str">
            <v>North America</v>
          </cell>
        </row>
        <row r="216">
          <cell r="C216" t="str">
            <v>Marshall Islands</v>
          </cell>
          <cell r="D216" t="str">
            <v>Majuro</v>
          </cell>
          <cell r="E216" t="str">
            <v>Oceania</v>
          </cell>
        </row>
        <row r="217">
          <cell r="C217" t="str">
            <v>Liechtenstein</v>
          </cell>
          <cell r="D217" t="str">
            <v>Vaduz</v>
          </cell>
          <cell r="E217" t="str">
            <v>Europe</v>
          </cell>
        </row>
        <row r="218">
          <cell r="C218" t="str">
            <v>Monaco</v>
          </cell>
          <cell r="D218" t="str">
            <v>Monaco</v>
          </cell>
          <cell r="E218" t="str">
            <v>Europe</v>
          </cell>
        </row>
        <row r="219">
          <cell r="C219" t="str">
            <v>San Marino</v>
          </cell>
          <cell r="D219" t="str">
            <v>San Marino</v>
          </cell>
          <cell r="E219" t="str">
            <v>Europe</v>
          </cell>
        </row>
        <row r="220">
          <cell r="C220" t="str">
            <v>Gibraltar</v>
          </cell>
          <cell r="D220" t="str">
            <v>Gibraltar</v>
          </cell>
          <cell r="E220" t="str">
            <v>Europe</v>
          </cell>
        </row>
        <row r="221">
          <cell r="C221" t="str">
            <v>Saint Martin</v>
          </cell>
          <cell r="D221" t="str">
            <v>Marigot</v>
          </cell>
          <cell r="E221" t="str">
            <v>North America</v>
          </cell>
        </row>
        <row r="222">
          <cell r="C222" t="str">
            <v>British Virgin Islands</v>
          </cell>
          <cell r="D222" t="str">
            <v>Road Town</v>
          </cell>
          <cell r="E222" t="str">
            <v>North America</v>
          </cell>
        </row>
        <row r="223">
          <cell r="C223" t="str">
            <v>Palau</v>
          </cell>
          <cell r="D223" t="str">
            <v>Ngerulmud</v>
          </cell>
          <cell r="E223" t="str">
            <v>Oceania</v>
          </cell>
        </row>
        <row r="224">
          <cell r="C224" t="str">
            <v>Cook Islands</v>
          </cell>
          <cell r="D224" t="str">
            <v>Avarua</v>
          </cell>
          <cell r="E224" t="str">
            <v>Oceania</v>
          </cell>
        </row>
        <row r="225">
          <cell r="C225" t="str">
            <v>Anguilla</v>
          </cell>
          <cell r="D225" t="str">
            <v>The Valley</v>
          </cell>
          <cell r="E225" t="str">
            <v>North America</v>
          </cell>
        </row>
        <row r="226">
          <cell r="C226" t="str">
            <v>Nauru</v>
          </cell>
          <cell r="D226" t="str">
            <v>Yaren</v>
          </cell>
          <cell r="E226" t="str">
            <v>Oceania</v>
          </cell>
        </row>
        <row r="227">
          <cell r="C227" t="str">
            <v>Wallis and Futuna</v>
          </cell>
          <cell r="D227" t="str">
            <v>Mata-Utu</v>
          </cell>
          <cell r="E227" t="str">
            <v>Oceania</v>
          </cell>
        </row>
        <row r="228">
          <cell r="C228" t="str">
            <v>Tuvalu</v>
          </cell>
          <cell r="D228" t="str">
            <v>Funafuti</v>
          </cell>
          <cell r="E228" t="str">
            <v>Oceania</v>
          </cell>
        </row>
        <row r="229">
          <cell r="C229" t="str">
            <v>Saint Barthelemy</v>
          </cell>
          <cell r="D229" t="str">
            <v>Gustavia</v>
          </cell>
          <cell r="E229" t="str">
            <v>North America</v>
          </cell>
        </row>
        <row r="230">
          <cell r="C230" t="str">
            <v>Saint Pierre and Miquelon</v>
          </cell>
          <cell r="D230" t="str">
            <v>Saint-Pierre</v>
          </cell>
          <cell r="E230" t="str">
            <v>North America</v>
          </cell>
        </row>
        <row r="231">
          <cell r="C231" t="str">
            <v>Montserrat</v>
          </cell>
          <cell r="D231" t="str">
            <v>Brades</v>
          </cell>
          <cell r="E231" t="str">
            <v>North America</v>
          </cell>
        </row>
        <row r="232">
          <cell r="C232" t="str">
            <v>Falkland Islands</v>
          </cell>
          <cell r="D232" t="str">
            <v>Stanley</v>
          </cell>
          <cell r="E232" t="str">
            <v>South America</v>
          </cell>
        </row>
        <row r="233">
          <cell r="C233" t="str">
            <v>Niue</v>
          </cell>
          <cell r="D233" t="str">
            <v>Alofi</v>
          </cell>
          <cell r="E233" t="str">
            <v>Oceania</v>
          </cell>
        </row>
        <row r="234">
          <cell r="C234" t="str">
            <v>Tokelau</v>
          </cell>
          <cell r="D234" t="str">
            <v>Nukunonu</v>
          </cell>
          <cell r="E234" t="str">
            <v>Oceania</v>
          </cell>
        </row>
        <row r="235">
          <cell r="C235" t="str">
            <v>Vatican City</v>
          </cell>
          <cell r="D235" t="str">
            <v>Vatican City</v>
          </cell>
          <cell r="E235" t="str">
            <v>Europe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veen Reddy" refreshedDate="44892.905216087966" createdVersion="4" refreshedVersion="4" minRefreshableVersion="3" recordCount="234">
  <cacheSource type="worksheet">
    <worksheetSource ref="A1:T235" sheet="population_data"/>
  </cacheSource>
  <cacheFields count="20">
    <cacheField name="rank" numFmtId="0">
      <sharedItems containsSemiMixedTypes="0" containsString="0" containsNumber="1" containsInteger="1" minValue="1" maxValue="234" count="234">
        <n v="36"/>
        <n v="138"/>
        <n v="34"/>
        <n v="213"/>
        <n v="203"/>
        <n v="42"/>
        <n v="224"/>
        <n v="201"/>
        <n v="33"/>
        <n v="140"/>
        <n v="198"/>
        <n v="55"/>
        <n v="99"/>
        <n v="91"/>
        <n v="176"/>
        <n v="154"/>
        <n v="8"/>
        <n v="186"/>
        <n v="96"/>
        <n v="81"/>
        <n v="177"/>
        <n v="77"/>
        <n v="206"/>
        <n v="165"/>
        <n v="80"/>
        <n v="137"/>
        <n v="144"/>
        <n v="7"/>
        <n v="221"/>
        <n v="175"/>
        <n v="108"/>
        <n v="58"/>
        <n v="78"/>
        <n v="73"/>
        <n v="53"/>
        <n v="39"/>
        <n v="171"/>
        <n v="205"/>
        <n v="117"/>
        <n v="69"/>
        <n v="65"/>
        <n v="1"/>
        <n v="28"/>
        <n v="163"/>
        <n v="223"/>
        <n v="124"/>
        <n v="130"/>
        <n v="85"/>
        <n v="189"/>
        <n v="158"/>
        <n v="88"/>
        <n v="115"/>
        <n v="160"/>
        <n v="204"/>
        <n v="84"/>
        <n v="15"/>
        <n v="67"/>
        <n v="14"/>
        <n v="112"/>
        <n v="152"/>
        <n v="132"/>
        <n v="156"/>
        <n v="159"/>
        <n v="12"/>
        <n v="231"/>
        <n v="209"/>
        <n v="162"/>
        <n v="118"/>
        <n v="23"/>
        <n v="184"/>
        <n v="183"/>
        <n v="146"/>
        <n v="142"/>
        <n v="131"/>
        <n v="19"/>
        <n v="47"/>
        <n v="219"/>
        <n v="90"/>
        <n v="208"/>
        <n v="193"/>
        <n v="178"/>
        <n v="191"/>
        <n v="68"/>
        <n v="207"/>
        <n v="75"/>
        <n v="149"/>
        <n v="164"/>
        <n v="82"/>
        <n v="89"/>
        <n v="104"/>
        <n v="94"/>
        <n v="179"/>
        <n v="2"/>
        <n v="4"/>
        <n v="17"/>
        <n v="35"/>
        <n v="125"/>
        <n v="202"/>
        <n v="98"/>
        <n v="25"/>
        <n v="52"/>
        <n v="139"/>
        <n v="11"/>
        <n v="195"/>
        <n v="83"/>
        <n v="66"/>
        <n v="27"/>
        <n v="192"/>
        <n v="129"/>
        <n v="110"/>
        <n v="103"/>
        <n v="151"/>
        <n v="119"/>
        <n v="147"/>
        <n v="121"/>
        <n v="107"/>
        <n v="216"/>
        <n v="141"/>
        <n v="168"/>
        <n v="167"/>
        <n v="50"/>
        <n v="62"/>
        <n v="45"/>
        <n v="174"/>
        <n v="59"/>
        <n v="173"/>
        <n v="215"/>
        <n v="180"/>
        <n v="126"/>
        <n v="157"/>
        <n v="182"/>
        <n v="10"/>
        <n v="194"/>
        <n v="135"/>
        <n v="217"/>
        <n v="134"/>
        <n v="169"/>
        <n v="230"/>
        <n v="40"/>
        <n v="48"/>
        <n v="26"/>
        <n v="145"/>
        <n v="225"/>
        <n v="49"/>
        <n v="71"/>
        <n v="185"/>
        <n v="123"/>
        <n v="106"/>
        <n v="54"/>
        <n v="6"/>
        <n v="232"/>
        <n v="56"/>
        <n v="150"/>
        <n v="210"/>
        <n v="120"/>
        <n v="127"/>
        <n v="5"/>
        <n v="222"/>
        <n v="122"/>
        <n v="128"/>
        <n v="93"/>
        <n v="109"/>
        <n v="44"/>
        <n v="13"/>
        <n v="37"/>
        <n v="92"/>
        <n v="136"/>
        <n v="143"/>
        <n v="114"/>
        <n v="161"/>
        <n v="64"/>
        <n v="9"/>
        <n v="76"/>
        <n v="228"/>
        <n v="211"/>
        <n v="190"/>
        <n v="220"/>
        <n v="229"/>
        <n v="199"/>
        <n v="188"/>
        <n v="218"/>
        <n v="187"/>
        <n v="41"/>
        <n v="72"/>
        <n v="105"/>
        <n v="196"/>
        <n v="102"/>
        <n v="113"/>
        <n v="214"/>
        <n v="116"/>
        <n v="148"/>
        <n v="166"/>
        <n v="70"/>
        <n v="24"/>
        <n v="29"/>
        <n v="86"/>
        <n v="30"/>
        <n v="61"/>
        <n v="32"/>
        <n v="170"/>
        <n v="87"/>
        <n v="101"/>
        <n v="60"/>
        <n v="57"/>
        <n v="95"/>
        <n v="22"/>
        <n v="20"/>
        <n v="155"/>
        <n v="100"/>
        <n v="233"/>
        <n v="197"/>
        <n v="153"/>
        <n v="79"/>
        <n v="18"/>
        <n v="111"/>
        <n v="212"/>
        <n v="227"/>
        <n v="31"/>
        <n v="38"/>
        <n v="97"/>
        <n v="21"/>
        <n v="3"/>
        <n v="200"/>
        <n v="133"/>
        <n v="43"/>
        <n v="181"/>
        <n v="234"/>
        <n v="51"/>
        <n v="16"/>
        <n v="226"/>
        <n v="172"/>
        <n v="46"/>
        <n v="63"/>
        <n v="74"/>
      </sharedItems>
    </cacheField>
    <cacheField name="cca2" numFmtId="0">
      <sharedItems/>
    </cacheField>
    <cacheField name="country" numFmtId="0">
      <sharedItems count="234">
        <s v="Afghanistan"/>
        <s v="Albania"/>
        <s v="Algeria"/>
        <s v="American Samoa"/>
        <s v="Andorra"/>
        <s v="Angola"/>
        <s v="Anguilla"/>
        <s v="Antigua and Barbuda"/>
        <s v="Argentina"/>
        <s v="Armenia"/>
        <s v="Aruba"/>
        <s v="Australia"/>
        <s v="Austria"/>
        <s v="Azerbaijan"/>
        <s v="Bahamas"/>
        <s v="Bahrain"/>
        <s v="Bangladesh"/>
        <s v="Barbados"/>
        <s v="Belarus"/>
        <s v="Belgium"/>
        <s v="Belize"/>
        <s v="Benin"/>
        <s v="Bermuda"/>
        <s v="Bhutan"/>
        <s v="Bolivia"/>
        <s v="Bosnia and Herzegovina"/>
        <s v="Botswana"/>
        <s v="Brazil"/>
        <s v="British Virgin Islands"/>
        <s v="Brunei"/>
        <s v="Bulgaria"/>
        <s v="Burkina Faso"/>
        <s v="Burundi"/>
        <s v="Cambodia"/>
        <s v="Cameroon"/>
        <s v="Canada"/>
        <s v="Cape Verde"/>
        <s v="Cayman Islands"/>
        <s v="Central African Republic"/>
        <s v="Chad"/>
        <s v="Chile"/>
        <s v="China"/>
        <s v="Colombia"/>
        <s v="Comoros"/>
        <s v="Cook Islands"/>
        <s v="Costa Rica"/>
        <s v="Croatia"/>
        <s v="Cuba"/>
        <s v="Curacao"/>
        <s v="Cyprus"/>
        <s v="Czech Republic"/>
        <s v="Denmark"/>
        <s v="Djibouti"/>
        <s v="Dominica"/>
        <s v="Dominican Republic"/>
        <s v="DR Congo"/>
        <s v="Ecuador"/>
        <s v="Egypt"/>
        <s v="El Salvador"/>
        <s v="Equatorial Guinea"/>
        <s v="Eritrea"/>
        <s v="Estonia"/>
        <s v="Eswatini"/>
        <s v="Ethiopia"/>
        <s v="Falkland Islands"/>
        <s v="Faroe Islands"/>
        <s v="Fiji"/>
        <s v="Finland"/>
        <s v="France"/>
        <s v="French Guiana"/>
        <s v="French Polynesia"/>
        <s v="Gabon"/>
        <s v="Gambia"/>
        <s v="Georgia"/>
        <s v="Germany"/>
        <s v="Ghana"/>
        <s v="Gibraltar"/>
        <s v="Greece"/>
        <s v="Greenland"/>
        <s v="Grenada"/>
        <s v="Guadeloupe"/>
        <s v="Guam"/>
        <s v="Guatemala"/>
        <s v="Guernsey"/>
        <s v="Guinea"/>
        <s v="Guinea-Bissau"/>
        <s v="Guyana"/>
        <s v="Haiti"/>
        <s v="Honduras"/>
        <s v="Hong Kong"/>
        <s v="Hungary"/>
        <s v="Iceland"/>
        <s v="India"/>
        <s v="Indonesia"/>
        <s v="Iran"/>
        <s v="Iraq"/>
        <s v="Ireland"/>
        <s v="Isle of Man"/>
        <s v="Israel"/>
        <s v="Italy"/>
        <s v="Ivory Coast"/>
        <s v="Jamaica"/>
        <s v="Japan"/>
        <s v="Jersey"/>
        <s v="Jordan"/>
        <s v="Kazakhstan"/>
        <s v="Kenya"/>
        <s v="Kiribati"/>
        <s v="Kuwait"/>
        <s v="Kyrgyzstan"/>
        <s v="Laos"/>
        <s v="Latvia"/>
        <s v="Lebanon"/>
        <s v="Lesotho"/>
        <s v="Liberia"/>
        <s v="Libya"/>
        <s v="Liechtenstein"/>
        <s v="Lithuania"/>
        <s v="Luxembourg"/>
        <s v="Macau"/>
        <s v="Madagascar"/>
        <s v="Malawi"/>
        <s v="Malaysia"/>
        <s v="Maldives"/>
        <s v="Mali"/>
        <s v="Malta"/>
        <s v="Marshall Islands"/>
        <s v="Martinique"/>
        <s v="Mauritania"/>
        <s v="Mauritius"/>
        <s v="Mayotte"/>
        <s v="Mexico"/>
        <s v="Micronesia"/>
        <s v="Moldova"/>
        <s v="Monaco"/>
        <s v="Mongolia"/>
        <s v="Montenegro"/>
        <s v="Montserrat"/>
        <s v="Morocco"/>
        <s v="Mozambique"/>
        <s v="Myanmar"/>
        <s v="Namibia"/>
        <s v="Nauru"/>
        <s v="Nepal"/>
        <s v="Netherlands"/>
        <s v="New Caledonia"/>
        <s v="New Zealand"/>
        <s v="Nicaragua"/>
        <s v="Niger"/>
        <s v="Nigeria"/>
        <s v="Niue"/>
        <s v="North Korea"/>
        <s v="North Macedonia"/>
        <s v="Northern Mariana Islands"/>
        <s v="Norway"/>
        <s v="Oman"/>
        <s v="Pakistan"/>
        <s v="Palau"/>
        <s v="Palestine"/>
        <s v="Panama"/>
        <s v="Papua New Guinea"/>
        <s v="Paraguay"/>
        <s v="Peru"/>
        <s v="Philippines"/>
        <s v="Poland"/>
        <s v="Portugal"/>
        <s v="Puerto Rico"/>
        <s v="Qatar"/>
        <s v="Republic of the Congo"/>
        <s v="Reunion"/>
        <s v="Romania"/>
        <s v="Russia"/>
        <s v="Rwanda"/>
        <s v="Saint Barthelemy"/>
        <s v="Saint Kitts and Nevis"/>
        <s v="Saint Lucia"/>
        <s v="Saint Martin"/>
        <s v="Saint Pierre and Miquelon"/>
        <s v="Saint Vincent and the Grenadines"/>
        <s v="Samoa"/>
        <s v="San Marino"/>
        <s v="Sao Tome and Principe"/>
        <s v="Saudi Arabia"/>
        <s v="Senegal"/>
        <s v="Serbia"/>
        <s v="Seychelles"/>
        <s v="Sierra Leone"/>
        <s v="Singapore"/>
        <s v="Sint Maarten"/>
        <s v="Slovakia"/>
        <s v="Slovenia"/>
        <s v="Solomon Islands"/>
        <s v="Somalia"/>
        <s v="South Africa"/>
        <s v="South Korea"/>
        <s v="South Sudan"/>
        <s v="Spain"/>
        <s v="Sri Lanka"/>
        <s v="Sudan"/>
        <s v="Suriname"/>
        <s v="Sweden"/>
        <s v="Switzerland"/>
        <s v="Syria"/>
        <s v="Taiwan"/>
        <s v="Tajikistan"/>
        <s v="Tanzania"/>
        <s v="Thailand"/>
        <s v="Timor-Leste"/>
        <s v="Togo"/>
        <s v="Tokelau"/>
        <s v="Tonga"/>
        <s v="Trinidad and Tobago"/>
        <s v="Tunisia"/>
        <s v="Turkey"/>
        <s v="Turkmenistan"/>
        <s v="Turks and Caicos Islands"/>
        <s v="Tuvalu"/>
        <s v="Uganda"/>
        <s v="Ukraine"/>
        <s v="United Arab Emirates"/>
        <s v="United Kingdom"/>
        <s v="United States"/>
        <s v="United States Virgin Islands"/>
        <s v="Uruguay"/>
        <s v="Uzbekistan"/>
        <s v="Vanuatu"/>
        <s v="Vatican City"/>
        <s v="Venezuela"/>
        <s v="Vietnam"/>
        <s v="Wallis and Futuna"/>
        <s v="Western Sahara"/>
        <s v="Yemen"/>
        <s v="Zambia"/>
        <s v="Zimbabwe"/>
      </sharedItems>
    </cacheField>
    <cacheField name="Continent" numFmtId="0">
      <sharedItems count="6">
        <s v="Asia"/>
        <s v="Europe"/>
        <s v="Africa"/>
        <s v="Oceania"/>
        <s v="North America"/>
        <s v="South America"/>
      </sharedItems>
    </cacheField>
    <cacheField name="pop2022" numFmtId="0">
      <sharedItems containsSemiMixedTypes="0" containsString="0" containsNumber="1" minValue="0.51" maxValue="1425887.3370000001" count="234">
        <n v="41128.771000000001"/>
        <n v="2842.3209999999999"/>
        <n v="44903.224999999999"/>
        <n v="44.273000000000003"/>
        <n v="79.823999999999998"/>
        <n v="35588.987000000001"/>
        <n v="15.856999999999999"/>
        <n v="93.763000000000005"/>
        <n v="45510.317999999999"/>
        <n v="2780.4690000000001"/>
        <n v="106.44499999999999"/>
        <n v="26177.413"/>
        <n v="8939.6170000000002"/>
        <n v="10358.074000000001"/>
        <n v="409.98399999999998"/>
        <n v="1472.2329999999999"/>
        <n v="171186.372"/>
        <n v="281.63499999999999"/>
        <n v="9534.9539999999997"/>
        <n v="11655.93"/>
        <n v="405.27199999999999"/>
        <n v="13352.864"/>
        <n v="64.183999999999997"/>
        <n v="782.45500000000004"/>
        <n v="12224.11"/>
        <n v="3233.5259999999998"/>
        <n v="2630.2959999999998"/>
        <n v="215313.49799999999"/>
        <n v="31.305"/>
        <n v="449.00200000000001"/>
        <n v="6781.9530000000004"/>
        <n v="22673.761999999999"/>
        <n v="12889.575999999999"/>
        <n v="16767.842000000001"/>
        <n v="27914.536"/>
        <n v="38454.326999999997"/>
        <n v="593.149"/>
        <n v="68.706000000000003"/>
        <n v="5579.1440000000002"/>
        <n v="17723.314999999999"/>
        <n v="19603.733"/>
        <n v="1425887.3370000001"/>
        <n v="51874.023999999998"/>
        <n v="836.774"/>
        <n v="17.010999999999999"/>
        <n v="5180.8289999999997"/>
        <n v="4030.3580000000002"/>
        <n v="11212.191000000001"/>
        <n v="191.16300000000001"/>
        <n v="1251.4880000000001"/>
        <n v="10493.986000000001"/>
        <n v="5882.2610000000004"/>
        <n v="1120.8489999999999"/>
        <n v="72.736999999999995"/>
        <n v="11228.821"/>
        <n v="99010.212"/>
        <n v="18001"/>
        <n v="110990.103"/>
        <n v="6336.3919999999998"/>
        <n v="1674.9079999999999"/>
        <n v="3684.0320000000002"/>
        <n v="1326.0619999999999"/>
        <n v="1201.67"/>
        <n v="123379.924"/>
        <n v="3.78"/>
        <n v="53.09"/>
        <n v="929.76599999999996"/>
        <n v="5540.7449999999999"/>
        <n v="64626.627999999997"/>
        <n v="304.55700000000002"/>
        <n v="306.279"/>
        <n v="2388.9920000000002"/>
        <n v="2705.9920000000002"/>
        <n v="3744.3850000000002"/>
        <n v="83369.842999999993"/>
        <n v="33475.870000000003"/>
        <n v="32.649000000000001"/>
        <n v="10384.971"/>
        <n v="56.466000000000001"/>
        <n v="125.438"/>
        <n v="395.75200000000001"/>
        <n v="171.774"/>
        <n v="17843.907999999999"/>
        <n v="63.301000000000002"/>
        <n v="13859.341"/>
        <n v="2105.5659999999998"/>
        <n v="808.726"/>
        <n v="11584.995999999999"/>
        <n v="10432.86"/>
        <n v="7488.8649999999998"/>
        <n v="9967.3080000000009"/>
        <n v="372.899"/>
        <n v="1417173.173"/>
        <n v="275501.33899999998"/>
        <n v="88550.57"/>
        <n v="44496.122000000003"/>
        <n v="5023.1090000000004"/>
        <n v="84.519000000000005"/>
        <n v="9038.3089999999993"/>
        <n v="59037.474000000002"/>
        <n v="28160.542000000001"/>
        <n v="2827.377"/>
        <n v="123951.692"/>
        <n v="110.77800000000001"/>
        <n v="11285.869000000001"/>
        <n v="19397.998"/>
        <n v="54027.487000000001"/>
        <n v="131.232"/>
        <n v="4268.8729999999996"/>
        <n v="6630.6229999999996"/>
        <n v="7529.4750000000004"/>
        <n v="1850.6510000000001"/>
        <n v="5489.7389999999996"/>
        <n v="2305.8249999999998"/>
        <n v="5302.6809999999996"/>
        <n v="6812.3410000000003"/>
        <n v="39.326999999999998"/>
        <n v="2750.0549999999998"/>
        <n v="647.59900000000005"/>
        <n v="695.16800000000001"/>
        <n v="29611.714"/>
        <n v="20405.316999999999"/>
        <n v="33938.220999999998"/>
        <n v="523.78700000000003"/>
        <n v="22593.59"/>
        <n v="533.28599999999994"/>
        <n v="41.569000000000003"/>
        <n v="367.50700000000001"/>
        <n v="4736.1390000000001"/>
        <n v="1299.4690000000001"/>
        <n v="326.101"/>
        <n v="127504.125"/>
        <n v="114.164"/>
        <n v="3272.9960000000001"/>
        <n v="36.469000000000001"/>
        <n v="3398.366"/>
        <n v="627.08199999999999"/>
        <n v="4.3899999999999997"/>
        <n v="37457.970999999998"/>
        <n v="32969.517999999996"/>
        <n v="54179.305999999997"/>
        <n v="2567.0120000000002"/>
        <n v="12.667999999999999"/>
        <n v="30547.58"/>
        <n v="17564.013999999999"/>
        <n v="289.95"/>
        <n v="5185.2879999999996"/>
        <n v="6948.3919999999998"/>
        <n v="26207.976999999999"/>
        <n v="218541.212"/>
        <n v="1.9339999999999999"/>
        <n v="26069.416000000001"/>
        <n v="2093.5990000000002"/>
        <n v="49.551000000000002"/>
        <n v="5434.3190000000004"/>
        <n v="4576.2979999999998"/>
        <n v="235824.86199999999"/>
        <n v="18.055"/>
        <n v="5250.0720000000001"/>
        <n v="4408.5810000000001"/>
        <n v="10142.619000000001"/>
        <n v="6780.7439999999997"/>
        <n v="34049.588000000003"/>
        <n v="115559.00900000001"/>
        <n v="39857.144999999997"/>
        <n v="10270.865"/>
        <n v="3252.4070000000002"/>
        <n v="2695.1219999999998"/>
        <n v="5970.424"/>
        <n v="974.05200000000002"/>
        <n v="19659.267"/>
        <n v="144713.31400000001"/>
        <n v="13776.698"/>
        <n v="10.967000000000001"/>
        <n v="47.656999999999996"/>
        <n v="179.857"/>
        <n v="31.791"/>
        <n v="5.8620000000000001"/>
        <n v="103.94799999999999"/>
        <n v="222.38200000000001"/>
        <n v="33.659999999999997"/>
        <n v="227.38"/>
        <n v="36408.82"/>
        <n v="17316.449000000001"/>
        <n v="7221.3649999999998"/>
        <n v="107.11799999999999"/>
        <n v="8605.7180000000008"/>
        <n v="5975.6890000000003"/>
        <n v="44.174999999999997"/>
        <n v="5643.4530000000004"/>
        <n v="2119.8440000000001"/>
        <n v="724.27300000000002"/>
        <n v="17597.510999999999"/>
        <n v="59893.885000000002"/>
        <n v="51815.81"/>
        <n v="10913.164000000001"/>
        <n v="47558.63"/>
        <n v="21832.143"/>
        <n v="46874.203999999998"/>
        <n v="618.04"/>
        <n v="10549.347"/>
        <n v="8740.4719999999998"/>
        <n v="22125.249"/>
        <n v="23893.394"/>
        <n v="9952.7870000000003"/>
        <n v="65497.748"/>
        <n v="71697.03"/>
        <n v="1341.296"/>
        <n v="8848.6990000000005"/>
        <n v="1.871"/>
        <n v="106.858"/>
        <n v="1531.0440000000001"/>
        <n v="12356.117"/>
        <n v="85341.240999999995"/>
        <n v="6430.77"/>
        <n v="45.703000000000003"/>
        <n v="11.311999999999999"/>
        <n v="47249.584999999999"/>
        <n v="39701.739000000001"/>
        <n v="9441.1290000000008"/>
        <n v="67508.936000000002"/>
        <n v="338289.85700000002"/>
        <n v="99.465000000000003"/>
        <n v="3422.7939999999999"/>
        <n v="34627.652000000002"/>
        <n v="326.74"/>
        <n v="0.51"/>
        <n v="28301.696"/>
        <n v="98186.856"/>
        <n v="11.571999999999999"/>
        <n v="575.98599999999999"/>
        <n v="33696.614000000001"/>
        <n v="20017.674999999999"/>
        <n v="16320.537"/>
      </sharedItems>
    </cacheField>
    <cacheField name="pop2021" numFmtId="0">
      <sharedItems containsSemiMixedTypes="0" containsString="0" containsNumber="1" minValue="0.51100000000000001" maxValue="1425893.4650000001" count="234">
        <n v="40099.462"/>
        <n v="2854.71"/>
        <n v="44177.968999999997"/>
        <n v="45.034999999999997"/>
        <n v="79.034000000000006"/>
        <n v="34503.773999999998"/>
        <n v="15.753"/>
        <n v="93.218999999999994"/>
        <n v="45276.78"/>
        <n v="2790.9740000000002"/>
        <n v="106.53700000000001"/>
        <n v="25921.089"/>
        <n v="8922.0820000000003"/>
        <n v="10312.992"/>
        <n v="407.90600000000001"/>
        <n v="1463.2650000000001"/>
        <n v="169356.25099999999"/>
        <n v="281.2"/>
        <n v="9578.1669999999995"/>
        <n v="11611.419"/>
        <n v="400.03100000000001"/>
        <n v="12996.895"/>
        <n v="64.185000000000002"/>
        <n v="777.48599999999999"/>
        <n v="12079.472"/>
        <n v="3270.9430000000002"/>
        <n v="2588.4229999999998"/>
        <n v="214326.223"/>
        <n v="31.122"/>
        <n v="445.37299999999999"/>
        <n v="6885.8680000000004"/>
        <n v="22100.683000000001"/>
        <n v="12551.213"/>
        <n v="16589.023000000001"/>
        <n v="27198.628000000001"/>
        <n v="38155.012000000002"/>
        <n v="587.92499999999995"/>
        <n v="68.135999999999996"/>
        <n v="5457.1540000000005"/>
        <n v="17179.740000000002"/>
        <n v="19493.184000000001"/>
        <n v="1425893.4650000001"/>
        <n v="51516.561999999998"/>
        <n v="821.625"/>
        <n v="17.003"/>
        <n v="5153.9570000000003"/>
        <n v="4060.1350000000002"/>
        <n v="11256.371999999999"/>
        <n v="190.33799999999999"/>
        <n v="1244.1880000000001"/>
        <n v="10510.751"/>
        <n v="5854.24"/>
        <n v="1105.557"/>
        <n v="72.412000000000006"/>
        <n v="11117.873"/>
        <n v="95894.118000000002"/>
        <n v="17797.737000000001"/>
        <n v="109262.178"/>
        <n v="6314.1670000000004"/>
        <n v="1634.4659999999999"/>
        <n v="3620.3119999999999"/>
        <n v="1328.701"/>
        <n v="1192.271"/>
        <n v="120283.026"/>
        <n v="3.7639999999999998"/>
        <n v="52.889000000000003"/>
        <n v="924.61"/>
        <n v="5535.9920000000002"/>
        <n v="64531.444000000003"/>
        <n v="297.44900000000001"/>
        <n v="304.03199999999998"/>
        <n v="2341.1790000000001"/>
        <n v="2639.9160000000002"/>
        <n v="3757.98"/>
        <n v="83408.554000000004"/>
        <n v="32833.031000000003"/>
        <n v="32.668999999999997"/>
        <n v="10445.365"/>
        <n v="56.243000000000002"/>
        <n v="124.61"/>
        <n v="396.05099999999999"/>
        <n v="170.53399999999999"/>
        <n v="17608.483"/>
        <n v="63.064999999999998"/>
        <n v="13531.906000000001"/>
        <n v="2060.721"/>
        <n v="804.56700000000001"/>
        <n v="11447.569"/>
        <n v="10278.344999999999"/>
        <n v="7494.5780000000004"/>
        <n v="9709.7860000000001"/>
        <n v="370.33499999999998"/>
        <n v="1407563.8419999999"/>
        <n v="273753.19099999999"/>
        <n v="87923.432000000001"/>
        <n v="43533.591999999997"/>
        <n v="4986.5259999999998"/>
        <n v="84.263000000000005"/>
        <n v="8900.0589999999993"/>
        <n v="59240.328999999998"/>
        <n v="27478.249"/>
        <n v="2827.6950000000002"/>
        <n v="124612.53"/>
        <n v="109.61799999999999"/>
        <n v="11148.278"/>
        <n v="19196.465"/>
        <n v="53005.614000000001"/>
        <n v="128.874"/>
        <n v="4250.1139999999996"/>
        <n v="6527.7430000000004"/>
        <n v="7425.0569999999998"/>
        <n v="1873.9190000000001"/>
        <n v="5592.6310000000003"/>
        <n v="2281.4540000000002"/>
        <n v="5193.4160000000002"/>
        <n v="6735.277"/>
        <n v="39.039000000000001"/>
        <n v="2786.6509999999998"/>
        <n v="639.32100000000003"/>
        <n v="686.60699999999997"/>
        <n v="28915.652999999998"/>
        <n v="19889.741999999998"/>
        <n v="33573.874000000003"/>
        <n v="521.45699999999999"/>
        <n v="21904.983"/>
        <n v="526.74800000000005"/>
        <n v="42.05"/>
        <n v="368.79599999999999"/>
        <n v="4614.9740000000002"/>
        <n v="1298.915"/>
        <n v="316.01400000000001"/>
        <n v="126705.13800000001"/>
        <n v="113.131"/>
        <n v="3061.5059999999999"/>
        <n v="36.686"/>
        <n v="3347.7820000000002"/>
        <n v="627.85900000000004"/>
        <n v="4.4169999999999998"/>
        <n v="37076.584000000003"/>
        <n v="32077.072"/>
        <n v="53798.084000000003"/>
        <n v="2530.1509999999998"/>
        <n v="12.510999999999999"/>
        <n v="30034.989000000001"/>
        <n v="17501.696"/>
        <n v="287.8"/>
        <n v="5129.7269999999999"/>
        <n v="6850.54"/>
        <n v="25252.722000000002"/>
        <n v="213401.323"/>
        <n v="1.9370000000000001"/>
        <n v="25971.909"/>
        <n v="2103.33"/>
        <n v="49.481000000000002"/>
        <n v="5403.0209999999997"/>
        <n v="4520.4709999999995"/>
        <n v="231402.117"/>
        <n v="18.024000000000001"/>
        <n v="5133.3919999999998"/>
        <n v="4351.2669999999998"/>
        <n v="9949.4369999999999"/>
        <n v="6703.799"/>
        <n v="33715.470999999998"/>
        <n v="113880.32799999999"/>
        <n v="38307.726000000002"/>
        <n v="10290.102999999999"/>
        <n v="3256.0279999999998"/>
        <n v="2688.2350000000001"/>
        <n v="5835.8059999999996"/>
        <n v="966.12900000000002"/>
        <n v="19328.560000000001"/>
        <n v="145102.755"/>
        <n v="13461.888000000001"/>
        <n v="10.861000000000001"/>
        <n v="47.606000000000002"/>
        <n v="179.65100000000001"/>
        <n v="31.948"/>
        <n v="5.883"/>
        <n v="104.33199999999999"/>
        <n v="218.76400000000001"/>
        <n v="33.744999999999997"/>
        <n v="223.107"/>
        <n v="35950.396000000001"/>
        <n v="16876.72"/>
        <n v="7296.7690000000002"/>
        <n v="106.471"/>
        <n v="8420.6409999999996"/>
        <n v="5941.06"/>
        <n v="44.042000000000002"/>
        <n v="5447.6220000000003"/>
        <n v="2119.41"/>
        <n v="707.851"/>
        <n v="17065.580999999998"/>
        <n v="59392.254999999997"/>
        <n v="51830.139000000003"/>
        <n v="10748.272000000001"/>
        <n v="47486.934999999998"/>
        <n v="21773.440999999999"/>
        <n v="45657.201999999997"/>
        <n v="612.98500000000001"/>
        <n v="10467.097"/>
        <n v="8691.4060000000009"/>
        <n v="21324.366999999998"/>
        <n v="23859.912"/>
        <n v="9750.0640000000003"/>
        <n v="63588.334000000003"/>
        <n v="71601.103000000003"/>
        <n v="1320.942"/>
        <n v="8644.8289999999997"/>
        <n v="1.849"/>
        <n v="106.017"/>
        <n v="1525.663"/>
        <n v="12262.946"/>
        <n v="84775.403999999995"/>
        <n v="6341.8549999999996"/>
        <n v="45.113999999999997"/>
        <n v="11.204000000000001"/>
        <n v="45853.777999999998"/>
        <n v="43531.421999999999"/>
        <n v="9365.1450000000004"/>
        <n v="67281.039000000004"/>
        <n v="336997.62400000001"/>
        <n v="100.09099999999999"/>
        <n v="3426.26"/>
        <n v="34081.449000000001"/>
        <n v="319.137"/>
        <n v="0.51100000000000001"/>
        <n v="28199.866999999998"/>
        <n v="97468.028999999995"/>
        <n v="11.627000000000001"/>
        <n v="565.58100000000002"/>
        <n v="32981.641000000003"/>
        <n v="19473.125"/>
        <n v="15993.523999999999"/>
      </sharedItems>
    </cacheField>
    <cacheField name="pop2020" numFmtId="0">
      <sharedItems containsSemiMixedTypes="0" containsString="0" containsNumber="1" minValue="0.52" maxValue="1424929.781"/>
    </cacheField>
    <cacheField name="pop2050" numFmtId="0">
      <sharedItems containsSemiMixedTypes="0" containsString="0" containsNumber="1" minValue="0.73099999999999998" maxValue="1670490.5959999999"/>
    </cacheField>
    <cacheField name="pop2030" numFmtId="0">
      <sharedItems containsSemiMixedTypes="0" containsString="0" containsNumber="1" minValue="0.56100000000000005" maxValue="1514994.08"/>
    </cacheField>
    <cacheField name="pop2015" numFmtId="0">
      <sharedItems containsSemiMixedTypes="0" containsString="0" containsNumber="1" minValue="0.56399999999999995" maxValue="1393715.4480000001"/>
    </cacheField>
    <cacheField name="pop2010" numFmtId="0">
      <sharedItems containsSemiMixedTypes="0" containsString="0" containsNumber="1" minValue="0.59599999999999997" maxValue="1348191.368"/>
    </cacheField>
    <cacheField name="pop2000" numFmtId="0">
      <sharedItems containsSemiMixedTypes="0" containsString="0" containsNumber="1" minValue="0.65100000000000002" maxValue="1264099.0689999999"/>
    </cacheField>
    <cacheField name="pop1990" numFmtId="0">
      <sharedItems containsSemiMixedTypes="0" containsString="0" containsNumber="1" minValue="0.7" maxValue="1153704.2520000001"/>
    </cacheField>
    <cacheField name="pop1980" numFmtId="0">
      <sharedItems containsSemiMixedTypes="0" containsString="0" containsNumber="1" minValue="0.73299999999999998" maxValue="982372.46600000001"/>
    </cacheField>
    <cacheField name="pop1970" numFmtId="0">
      <sharedItems containsSemiMixedTypes="0" containsString="0" containsNumber="1" minValue="0.752" maxValue="822534.45" count="234">
        <n v="10752.971"/>
        <n v="2324.7310000000002"/>
        <n v="13795.915000000001"/>
        <n v="27.074999999999999"/>
        <n v="19.86"/>
        <n v="6029.7"/>
        <n v="6.2830000000000004"/>
        <n v="64.516999999999996"/>
        <n v="23842.803"/>
        <n v="2534.377"/>
        <n v="59.106000000000002"/>
        <n v="12595.034"/>
        <n v="7465.3010000000004"/>
        <n v="5425.317"/>
        <n v="179.12899999999999"/>
        <n v="222.55500000000001"/>
        <n v="67541.86"/>
        <n v="241.39699999999999"/>
        <n v="9170.7860000000001"/>
        <n v="9629.3760000000002"/>
        <n v="120.905"/>
        <n v="3023.4430000000002"/>
        <n v="52.018999999999998"/>
        <n v="298.89400000000001"/>
        <n v="4585.6930000000002"/>
        <n v="3815.5610000000001"/>
        <n v="592.24400000000003"/>
        <n v="96369.875"/>
        <n v="9.5809999999999995"/>
        <n v="133.34299999999999"/>
        <n v="8582.9500000000007"/>
        <n v="5611.6660000000002"/>
        <n v="3497.8339999999998"/>
        <n v="6708.5249999999996"/>
        <n v="6452.7870000000003"/>
        <n v="21434.577000000001"/>
        <n v="287.262"/>
        <n v="10.532999999999999"/>
        <n v="2067.3560000000002"/>
        <n v="3667.3939999999998"/>
        <n v="9820.4809999999998"/>
        <n v="822534.45"/>
        <n v="20905.254000000001"/>
        <n v="242.351"/>
        <n v="20.47"/>
        <n v="1855.6969999999999"/>
        <n v="4492.6379999999999"/>
        <n v="8869.6360000000004"/>
        <n v="150.38499999999999"/>
        <n v="640.80399999999997"/>
        <n v="9795.7440000000006"/>
        <n v="4922.9629999999997"/>
        <n v="144.37899999999999"/>
        <n v="68.894999999999996"/>
        <n v="4475.8710000000001"/>
        <n v="20151.733"/>
        <n v="6172.2150000000001"/>
        <n v="34781.985999999997"/>
        <n v="3619.09"/>
        <n v="316.95499999999998"/>
        <n v="1272.748"/>
        <n v="1361.999"/>
        <n v="442.86500000000001"/>
        <n v="28308.245999999999"/>
        <n v="2.274"/>
        <n v="38.415999999999997"/>
        <n v="527.63400000000001"/>
        <n v="4606.6210000000001"/>
        <n v="50523.586000000003"/>
        <n v="46.484000000000002"/>
        <n v="117.89100000000001"/>
        <n v="597.19200000000001"/>
        <n v="528.73099999999999"/>
        <n v="4800.4260000000004"/>
        <n v="78294.582999999999"/>
        <n v="8861.8950000000004"/>
        <n v="26.684999999999999"/>
        <n v="8544.8729999999996"/>
        <n v="45.433999999999997"/>
        <n v="98.793999999999997"/>
        <n v="318.31"/>
        <n v="88.3"/>
        <n v="5453.2079999999996"/>
        <n v="52.655999999999999"/>
        <n v="4222.3739999999998"/>
        <n v="591.66300000000001"/>
        <n v="705.26099999999997"/>
        <n v="4680.8119999999999"/>
        <n v="2782.7530000000002"/>
        <n v="3955.0720000000001"/>
        <n v="10315.366"/>
        <n v="204.46799999999999"/>
        <n v="557501.30099999998"/>
        <n v="115228.394"/>
        <n v="28449.705000000002"/>
        <n v="9811.3469999999998"/>
        <n v="2937.6370000000002"/>
        <n v="55.298000000000002"/>
        <n v="2907.3069999999998"/>
        <n v="53324.036"/>
        <n v="5477.0860000000002"/>
        <n v="1859.0909999999999"/>
        <n v="105416.83900000001"/>
        <n v="68.346999999999994"/>
        <n v="1557.374"/>
        <n v="12265.305"/>
        <n v="11473.087"/>
        <n v="57.436999999999998"/>
        <n v="802.78599999999994"/>
        <n v="3016.384"/>
        <n v="2675.2829999999999"/>
        <n v="2397.4140000000002"/>
        <n v="2381.7910000000002"/>
        <n v="1023.481"/>
        <n v="1463.5630000000001"/>
        <n v="1909.1769999999999"/>
        <n v="21.088999999999999"/>
        <n v="3210.1469999999999"/>
        <n v="339.34199999999998"/>
        <n v="247.28399999999999"/>
        <n v="6639.7510000000002"/>
        <n v="4625.1409999999996"/>
        <n v="10306.508"/>
        <n v="123.24299999999999"/>
        <n v="6153.5870000000004"/>
        <n v="315.41399999999999"/>
        <n v="23.969000000000001"/>
        <n v="326.428"/>
        <n v="1122.1980000000001"/>
        <n v="830.11500000000001"/>
        <n v="35.383000000000003"/>
        <n v="50289.305999999997"/>
        <n v="58.988999999999997"/>
        <n v="3711.14"/>
        <n v="24.27"/>
        <n v="1293.8800000000001"/>
        <n v="530.26800000000003"/>
        <n v="11.401999999999999"/>
        <n v="15274.351000000001"/>
        <n v="8411.6759999999995"/>
        <n v="27284.112000000001"/>
        <n v="754.46699999999998"/>
        <n v="6.6630000000000003"/>
        <n v="12501.285"/>
        <n v="13037.686"/>
        <n v="110.982"/>
        <n v="2824.0610000000001"/>
        <n v="2444.7669999999998"/>
        <n v="4669.7079999999996"/>
        <n v="55569.264000000003"/>
        <n v="5.1849999999999996"/>
        <n v="14996.879000000001"/>
        <n v="1656.7829999999999"/>
        <n v="10.143000000000001"/>
        <n v="3875.5459999999998"/>
        <n v="670.69299999999998"/>
        <n v="59290.872000000003"/>
        <n v="11.366"/>
        <n v="1118.241"/>
        <n v="1516.1880000000001"/>
        <n v="2489.0590000000002"/>
        <n v="2408.7869999999998"/>
        <n v="13562.370999999999"/>
        <n v="37435.586000000003"/>
        <n v="32482.942999999999"/>
        <n v="8683.6309999999994"/>
        <n v="2737.6190000000001"/>
        <n v="118.00700000000001"/>
        <n v="1396.989"/>
        <n v="473.92500000000001"/>
        <n v="19922.617999999999"/>
        <n v="130093.01"/>
        <n v="3896.3670000000002"/>
        <n v="2.4169999999999998"/>
        <n v="44.968000000000004"/>
        <n v="103.09"/>
        <n v="5.8019999999999996"/>
        <n v="5.5369999999999999"/>
        <n v="98.459000000000003"/>
        <n v="142.77099999999999"/>
        <n v="18.169"/>
        <n v="77.582999999999998"/>
        <n v="6106.1909999999998"/>
        <n v="4367.7439999999997"/>
        <n v="7193.5330000000004"/>
        <n v="54.378999999999998"/>
        <n v="2778.5569999999998"/>
        <n v="2061.8310000000001"/>
        <n v="6.26"/>
        <n v="4522.8670000000002"/>
        <n v="1741.2860000000001"/>
        <n v="172.833"/>
        <n v="3720.9769999999999"/>
        <n v="22368.306"/>
        <n v="32601.143"/>
        <n v="3342.41"/>
        <n v="33792.616999999998"/>
        <n v="12388.769"/>
        <n v="11305.206"/>
        <n v="379.91800000000001"/>
        <n v="8027.7020000000002"/>
        <n v="6181.2269999999999"/>
        <n v="6319.1989999999996"/>
        <n v="14957.87"/>
        <n v="2993.0189999999998"/>
        <n v="13618.191999999999"/>
        <n v="35791.728000000003"/>
        <n v="554.02099999999996"/>
        <n v="2197.3829999999998"/>
        <n v="1.714"/>
        <n v="86.483999999999995"/>
        <n v="988.89"/>
        <n v="5047.4040000000005"/>
        <n v="35540.99"/>
        <n v="2201.4319999999998"/>
        <n v="5.665"/>
        <n v="5.8140000000000001"/>
        <n v="10317.212"/>
        <n v="47279.086000000003"/>
        <n v="298.084"/>
        <n v="55650.165999999997"/>
        <n v="200328.34"/>
        <n v="63.445999999999998"/>
        <n v="2790.2649999999999"/>
        <n v="12011.361000000001"/>
        <n v="87.019000000000005"/>
        <n v="0.752"/>
        <n v="11355.475"/>
        <n v="41928.849000000002"/>
        <n v="9.3770000000000007"/>
        <n v="76.370999999999995"/>
        <n v="6843.607"/>
        <n v="4281.6710000000003"/>
        <n v="5202.9179999999997"/>
      </sharedItems>
    </cacheField>
    <cacheField name="area" numFmtId="0">
      <sharedItems containsSemiMixedTypes="0" containsString="0" containsNumber="1" containsInteger="1" minValue="1" maxValue="17098242" count="233">
        <n v="652230"/>
        <n v="28748"/>
        <n v="2381741"/>
        <n v="199"/>
        <n v="468"/>
        <n v="1246700"/>
        <n v="91"/>
        <n v="442"/>
        <n v="2780400"/>
        <n v="29743"/>
        <n v="180"/>
        <n v="7692024"/>
        <n v="83871"/>
        <n v="86600"/>
        <n v="13943"/>
        <n v="765"/>
        <n v="147570"/>
        <n v="430"/>
        <n v="207600"/>
        <n v="30528"/>
        <n v="22966"/>
        <n v="112622"/>
        <n v="54"/>
        <n v="38394"/>
        <n v="1098581"/>
        <n v="51209"/>
        <n v="582000"/>
        <n v="8515767"/>
        <n v="151"/>
        <n v="5765"/>
        <n v="110879"/>
        <n v="272967"/>
        <n v="27834"/>
        <n v="181035"/>
        <n v="475442"/>
        <n v="9984670"/>
        <n v="4033"/>
        <n v="264"/>
        <n v="622984"/>
        <n v="1284000"/>
        <n v="756102"/>
        <n v="9706961"/>
        <n v="1141748"/>
        <n v="1862"/>
        <n v="236"/>
        <n v="51100"/>
        <n v="56594"/>
        <n v="109884"/>
        <n v="444"/>
        <n v="9251"/>
        <n v="78865"/>
        <n v="43094"/>
        <n v="23200"/>
        <n v="751"/>
        <n v="48671"/>
        <n v="2344858"/>
        <n v="276841"/>
        <n v="1002450"/>
        <n v="21041"/>
        <n v="28051"/>
        <n v="117600"/>
        <n v="45227"/>
        <n v="17364"/>
        <n v="1104300"/>
        <n v="12173"/>
        <n v="1393"/>
        <n v="18272"/>
        <n v="338424"/>
        <n v="551695"/>
        <n v="83534"/>
        <n v="4167"/>
        <n v="267668"/>
        <n v="10689"/>
        <n v="69700"/>
        <n v="357114"/>
        <n v="238533"/>
        <n v="6"/>
        <n v="131990"/>
        <n v="2166086"/>
        <n v="344"/>
        <n v="1628"/>
        <n v="549"/>
        <n v="108889"/>
        <n v="78"/>
        <n v="245857"/>
        <n v="36125"/>
        <n v="214969"/>
        <n v="27750"/>
        <n v="112492"/>
        <n v="1104"/>
        <n v="93028"/>
        <n v="103000"/>
        <n v="3287590"/>
        <n v="1904569"/>
        <n v="1648195"/>
        <n v="438317"/>
        <n v="70273"/>
        <n v="572"/>
        <n v="20770"/>
        <n v="301336"/>
        <n v="322463"/>
        <n v="10991"/>
        <n v="377930"/>
        <n v="116"/>
        <n v="89342"/>
        <n v="2724900"/>
        <n v="580367"/>
        <n v="811"/>
        <n v="17818"/>
        <n v="199951"/>
        <n v="236800"/>
        <n v="64559"/>
        <n v="10452"/>
        <n v="30355"/>
        <n v="111369"/>
        <n v="1759540"/>
        <n v="160"/>
        <n v="65300"/>
        <n v="2586"/>
        <n v="30"/>
        <n v="587041"/>
        <n v="118484"/>
        <n v="330803"/>
        <n v="300"/>
        <n v="1240192"/>
        <n v="316"/>
        <n v="181"/>
        <n v="1128"/>
        <n v="1030700"/>
        <n v="2040"/>
        <n v="374"/>
        <n v="1964375"/>
        <n v="702"/>
        <n v="33846"/>
        <n v="2"/>
        <n v="1564110"/>
        <n v="13812"/>
        <n v="102"/>
        <n v="446550"/>
        <n v="801590"/>
        <n v="676578"/>
        <n v="825615"/>
        <n v="21"/>
        <n v="147181"/>
        <n v="41850"/>
        <n v="18575"/>
        <n v="270467"/>
        <n v="130373"/>
        <n v="1267000"/>
        <n v="923768"/>
        <n v="260"/>
        <n v="120538"/>
        <n v="25713"/>
        <n v="464"/>
        <n v="323802"/>
        <n v="309500"/>
        <n v="881912"/>
        <n v="459"/>
        <n v="6220"/>
        <n v="75417"/>
        <n v="462840"/>
        <n v="406752"/>
        <n v="1285216"/>
        <n v="342353"/>
        <n v="312679"/>
        <n v="92090"/>
        <n v="8870"/>
        <n v="11586"/>
        <n v="342000"/>
        <n v="2511"/>
        <n v="238391"/>
        <n v="17098242"/>
        <n v="26338"/>
        <n v="261"/>
        <n v="616"/>
        <n v="53"/>
        <n v="242"/>
        <n v="389"/>
        <n v="2842"/>
        <n v="61"/>
        <n v="964"/>
        <n v="2149690"/>
        <n v="196722"/>
        <n v="88361"/>
        <n v="452"/>
        <n v="71740"/>
        <n v="710"/>
        <n v="34"/>
        <n v="49037"/>
        <n v="20273"/>
        <n v="28896"/>
        <n v="637657"/>
        <n v="1221037"/>
        <n v="100210"/>
        <n v="619745"/>
        <n v="505992"/>
        <n v="65610"/>
        <n v="1886068"/>
        <n v="163820"/>
        <n v="450295"/>
        <n v="41284"/>
        <n v="185180"/>
        <n v="36193"/>
        <n v="143100"/>
        <n v="945087"/>
        <n v="513120"/>
        <n v="14874"/>
        <n v="56785"/>
        <n v="12"/>
        <n v="747"/>
        <n v="5130"/>
        <n v="163610"/>
        <n v="783562"/>
        <n v="488100"/>
        <n v="948"/>
        <n v="26"/>
        <n v="241550"/>
        <n v="603500"/>
        <n v="83600"/>
        <n v="242900"/>
        <n v="9372610"/>
        <n v="347"/>
        <n v="181034"/>
        <n v="447400"/>
        <n v="12189"/>
        <n v="1"/>
        <n v="916445"/>
        <n v="331212"/>
        <n v="142"/>
        <n v="266000"/>
        <n v="527968"/>
        <n v="752612"/>
        <n v="390757"/>
      </sharedItems>
    </cacheField>
    <cacheField name="landAreaKm" numFmtId="0">
      <sharedItems containsSemiMixedTypes="0" containsString="0" containsNumber="1" minValue="0.44" maxValue="16376870" count="230">
        <n v="652230"/>
        <n v="27400"/>
        <n v="2381741"/>
        <n v="200"/>
        <n v="470"/>
        <n v="1246700"/>
        <n v="91"/>
        <n v="440"/>
        <n v="2736690"/>
        <n v="28470"/>
        <n v="180"/>
        <n v="7692020"/>
        <n v="82520"/>
        <n v="82646"/>
        <n v="10010"/>
        <n v="785"/>
        <n v="130170"/>
        <n v="430"/>
        <n v="202980"/>
        <n v="30280"/>
        <n v="22810"/>
        <n v="112760"/>
        <n v="54"/>
        <n v="38140"/>
        <n v="1083300"/>
        <n v="51200"/>
        <n v="566730"/>
        <n v="8358140"/>
        <n v="150"/>
        <n v="5270"/>
        <n v="108560"/>
        <n v="273600"/>
        <n v="25680"/>
        <n v="176520"/>
        <n v="472710"/>
        <n v="8965590"/>
        <n v="4033"/>
        <n v="240"/>
        <n v="622980"/>
        <n v="1259200"/>
        <n v="743532"/>
        <n v="9424702.9000000004"/>
        <n v="1109500"/>
        <n v="1861"/>
        <n v="51060"/>
        <n v="55960"/>
        <n v="103800"/>
        <n v="444"/>
        <n v="9240"/>
        <n v="77198.5"/>
        <n v="40000"/>
        <n v="23180"/>
        <n v="750"/>
        <n v="48310"/>
        <n v="2267050"/>
        <n v="248360"/>
        <n v="995450"/>
        <n v="20720"/>
        <n v="28050"/>
        <n v="121040.8"/>
        <n v="42750"/>
        <n v="17200"/>
        <n v="1128571.3"/>
        <n v="12173"/>
        <n v="1366"/>
        <n v="18270"/>
        <n v="303940"/>
        <n v="547557"/>
        <n v="83534"/>
        <n v="3471"/>
        <n v="257670"/>
        <n v="10120"/>
        <n v="69490"/>
        <n v="349390"/>
        <n v="227533"/>
        <n v="6.8"/>
        <n v="128900"/>
        <n v="410450"/>
        <n v="340"/>
        <n v="1628"/>
        <n v="540"/>
        <n v="107160"/>
        <n v="63"/>
        <n v="245720"/>
        <n v="28120"/>
        <n v="196850"/>
        <n v="27560"/>
        <n v="111890"/>
        <n v="1050"/>
        <n v="91260"/>
        <n v="100830"/>
        <n v="2973190"/>
        <n v="1877519"/>
        <n v="1622500"/>
        <n v="434128"/>
        <n v="68890"/>
        <n v="570"/>
        <n v="21640"/>
        <n v="295717"/>
        <n v="318000"/>
        <n v="10830"/>
        <n v="364500"/>
        <n v="120"/>
        <n v="88794"/>
        <n v="2699700"/>
        <n v="569140"/>
        <n v="810"/>
        <n v="17820"/>
        <n v="191800"/>
        <n v="230800"/>
        <n v="62230"/>
        <n v="10230"/>
        <n v="30360"/>
        <n v="96320"/>
        <n v="1759540"/>
        <n v="160"/>
        <n v="62620"/>
        <n v="2574.5"/>
        <n v="32.9"/>
        <n v="581800"/>
        <n v="94280"/>
        <n v="328550"/>
        <n v="300"/>
        <n v="1220190"/>
        <n v="320"/>
        <n v="1128"/>
        <n v="1030700"/>
        <n v="2030"/>
        <n v="374"/>
        <n v="1943950"/>
        <n v="700"/>
        <n v="32884.6"/>
        <n v="2"/>
        <n v="1557506.8"/>
        <n v="13450"/>
        <n v="102"/>
        <n v="446300"/>
        <n v="786380"/>
        <n v="652670"/>
        <n v="823290"/>
        <n v="20"/>
        <n v="143350"/>
        <n v="33670"/>
        <n v="18280"/>
        <n v="263310"/>
        <n v="120340"/>
        <n v="1266700"/>
        <n v="910770"/>
        <n v="261"/>
        <n v="120410"/>
        <n v="25220"/>
        <n v="460"/>
        <n v="364285"/>
        <n v="309500"/>
        <n v="770880"/>
        <n v="6020"/>
        <n v="74180"/>
        <n v="452860"/>
        <n v="397300"/>
        <n v="1280000"/>
        <n v="298170"/>
        <n v="306130"/>
        <n v="91605.6"/>
        <n v="8870"/>
        <n v="11490"/>
        <n v="341500"/>
        <n v="2512"/>
        <n v="230080"/>
        <n v="16376870"/>
        <n v="24670"/>
        <n v="25"/>
        <n v="260"/>
        <n v="610"/>
        <n v="50"/>
        <n v="242"/>
        <n v="390"/>
        <n v="2780"/>
        <n v="60"/>
        <n v="960"/>
        <n v="2149690"/>
        <n v="192530"/>
        <n v="87460"/>
        <n v="72180"/>
        <n v="718"/>
        <n v="34"/>
        <n v="49035"/>
        <n v="20136.400000000001"/>
        <n v="27990"/>
        <n v="627340"/>
        <n v="1213090"/>
        <n v="97600"/>
        <n v="631930"/>
        <n v="499556.6"/>
        <n v="61860"/>
        <n v="1868000"/>
        <n v="156000"/>
        <n v="407283.5"/>
        <n v="39516"/>
        <n v="183630"/>
        <n v="36197"/>
        <n v="138790"/>
        <n v="885800"/>
        <n v="510890"/>
        <n v="14870"/>
        <n v="54390"/>
        <n v="10"/>
        <n v="720"/>
        <n v="5130"/>
        <n v="155360"/>
        <n v="783562"/>
        <n v="469930"/>
        <n v="948"/>
        <n v="30"/>
        <n v="200520"/>
        <n v="579400"/>
        <n v="71020"/>
        <n v="241930"/>
        <n v="9147420"/>
        <n v="347"/>
        <n v="175020"/>
        <n v="440650"/>
        <n v="12190"/>
        <n v="0.44"/>
        <n v="882050"/>
        <n v="313429"/>
        <n v="274"/>
        <n v="266000"/>
        <n v="527970"/>
        <n v="743390"/>
        <n v="386850"/>
      </sharedItems>
    </cacheField>
    <cacheField name="density" numFmtId="0">
      <sharedItems containsSemiMixedTypes="0" containsString="0" containsNumber="1" minValue="0.1376" maxValue="21129.7264" count="234">
        <n v="63.058700000000002"/>
        <n v="103.7343"/>
        <n v="18.853100000000001"/>
        <n v="221.36500000000001"/>
        <n v="169.8383"/>
        <n v="28.546600000000002"/>
        <n v="174.2527"/>
        <n v="213.0977"/>
        <n v="16.6297"/>
        <n v="97.6631"/>
        <n v="591.36109999999996"/>
        <n v="3.4032"/>
        <n v="108.3327"/>
        <n v="125.3306"/>
        <n v="40.9574"/>
        <n v="1875.4561000000001"/>
        <n v="1315.0985000000001"/>
        <n v="654.96510000000001"/>
        <n v="46.974800000000002"/>
        <n v="384.93819999999999"/>
        <n v="17.767299999999999"/>
        <n v="118.41840000000001"/>
        <n v="1188.5925999999999"/>
        <n v="20.5153"/>
        <n v="11.2841"/>
        <n v="63.154800000000002"/>
        <n v="4.6412000000000004"/>
        <n v="25.760899999999999"/>
        <n v="208.7"/>
        <n v="85.199600000000004"/>
        <n v="62.471899999999998"/>
        <n v="82.871899999999997"/>
        <n v="501.93049999999999"/>
        <n v="94.991200000000006"/>
        <n v="59.052100000000003"/>
        <n v="4.2891000000000004"/>
        <n v="147.07390000000001"/>
        <n v="286.27499999999998"/>
        <n v="8.9556000000000004"/>
        <n v="14.075100000000001"/>
        <n v="26.3657"/>
        <n v="151.29259999999999"/>
        <n v="46.754399999999997"/>
        <n v="449.63679999999999"/>
        <n v="70.879199999999997"/>
        <n v="101.46550000000001"/>
        <n v="72.022099999999995"/>
        <n v="108.01730000000001"/>
        <n v="430.54730000000001"/>
        <n v="135.44239999999999"/>
        <n v="135.93510000000001"/>
        <n v="147.0565"/>
        <n v="48.354100000000003"/>
        <n v="96.982699999999994"/>
        <n v="232.43260000000001"/>
        <n v="43.6736"/>
        <n v="72.479500000000002"/>
        <n v="111.4974"/>
        <n v="305.81040000000002"/>
        <n v="59.711500000000001"/>
        <n v="30.436299999999999"/>
        <n v="31.018999999999998"/>
        <n v="69.864500000000007"/>
        <n v="109.324"/>
        <n v="0.3105"/>
        <n v="38.865299999999998"/>
        <n v="50.890300000000003"/>
        <n v="18.229700000000001"/>
        <n v="118.02719999999999"/>
        <n v="3.6459000000000001"/>
        <n v="88.239400000000003"/>
        <n v="9.2714999999999996"/>
        <n v="267.39049999999997"/>
        <n v="53.883800000000001"/>
        <n v="238.61539999999999"/>
        <n v="147.12530000000001"/>
        <n v="4801.3235000000004"/>
        <n v="80.566100000000006"/>
        <n v="0.1376"/>
        <n v="368.93529999999998"/>
        <n v="243.0909"/>
        <n v="318.10000000000002"/>
        <n v="166.51650000000001"/>
        <n v="1004.7778"/>
        <n v="56.402999999999999"/>
        <n v="74.877899999999997"/>
        <n v="4.1082999999999998"/>
        <n v="420.35539999999997"/>
        <n v="93.242099999999994"/>
        <n v="7132.2524000000003"/>
        <n v="109.2188"/>
        <n v="3.6983000000000001"/>
        <n v="476.65069999999997"/>
        <n v="146.73689999999999"/>
        <n v="54.576599999999999"/>
        <n v="102.4954"/>
        <n v="72.914900000000003"/>
        <n v="148.27889999999999"/>
        <n v="417.66680000000002"/>
        <n v="199.64179999999999"/>
        <n v="88.555199999999999"/>
        <n v="261.06900000000002"/>
        <n v="340.05950000000001"/>
        <n v="923.15"/>
        <n v="127.10169999999999"/>
        <n v="7.1852"/>
        <n v="94.928299999999993"/>
        <n v="162.01480000000001"/>
        <n v="239.55520000000001"/>
        <n v="34.570500000000003"/>
        <n v="32.623399999999997"/>
        <n v="29.738900000000001"/>
        <n v="536.63139999999999"/>
        <n v="75.949399999999997"/>
        <n v="55.052799999999998"/>
        <n v="3.8717000000000001"/>
        <n v="245.7937"/>
        <n v="43.916600000000003"/>
        <n v="251.5436"/>
        <n v="21129.7264"/>
        <n v="50.896700000000003"/>
        <n v="216.4331"/>
        <n v="103.297"/>
        <n v="1745.9567"/>
        <n v="18.516500000000001"/>
        <n v="1666.5187000000001"/>
        <n v="230.93889999999999"/>
        <n v="325.80410000000001"/>
        <n v="4.5951000000000004"/>
        <n v="640.13250000000005"/>
        <n v="871.92780000000005"/>
        <n v="65.590199999999996"/>
        <n v="163.09139999999999"/>
        <n v="99.529700000000005"/>
        <n v="18234.5"/>
        <n v="2.1819000000000002"/>
        <n v="46.623199999999997"/>
        <n v="43.039200000000001"/>
        <n v="83.93"/>
        <n v="41.925699999999999"/>
        <n v="83.011799999999994"/>
        <n v="3.1179999999999999"/>
        <n v="633.4"/>
        <n v="213.09790000000001"/>
        <n v="521.65170000000001"/>
        <n v="15.861599999999999"/>
        <n v="19.692699999999999"/>
        <n v="57.739699999999999"/>
        <n v="20.69"/>
        <n v="239.9521"/>
        <n v="7.41"/>
        <n v="216.50540000000001"/>
        <n v="83.013400000000004"/>
        <n v="107.7196"/>
        <n v="14.9178"/>
        <n v="14.786099999999999"/>
        <n v="305.91640000000001"/>
        <n v="39.25"/>
        <n v="872.10500000000002"/>
        <n v="59.430900000000001"/>
        <n v="22.396799999999999"/>
        <n v="17.0671"/>
        <n v="26.601199999999999"/>
        <n v="387.56079999999997"/>
        <n v="130.1968"/>
        <n v="112.12050000000001"/>
        <n v="366.67500000000001"/>
        <n v="234.5624"/>
        <n v="17.482900000000001"/>
        <n v="387.75959999999998"/>
        <n v="85.445400000000006"/>
        <n v="8.8363999999999994"/>
        <n v="558.4393"/>
        <n v="438.68"/>
        <n v="183.2962"/>
        <n v="294.84750000000003"/>
        <n v="635.82000000000005"/>
        <n v="24.223099999999999"/>
        <n v="266.5333"/>
        <n v="79.993499999999997"/>
        <n v="561"/>
        <n v="236.85419999999999"/>
        <n v="16.936800000000002"/>
        <n v="89.941599999999994"/>
        <n v="82.567599999999999"/>
        <n v="232.86519999999999"/>
        <n v="119.22580000000001"/>
        <n v="8322.6866000000009"/>
        <n v="1299.2646999999999"/>
        <n v="115.0903"/>
        <n v="105.27419999999999"/>
        <n v="25.876100000000001"/>
        <n v="28.050999999999998"/>
        <n v="49.372999999999998"/>
        <n v="530.89970000000005"/>
        <n v="17.269600000000001"/>
        <n v="95.201700000000002"/>
        <n v="352.92829999999998"/>
        <n v="25.093299999999999"/>
        <n v="3.9618000000000002"/>
        <n v="25.901700000000002"/>
        <n v="221.18819999999999"/>
        <n v="120.48820000000001"/>
        <n v="660.09320000000002"/>
        <n v="71.711100000000002"/>
        <n v="73.941900000000004"/>
        <n v="140.33750000000001"/>
        <n v="90.201499999999996"/>
        <n v="162.68979999999999"/>
        <n v="187.1"/>
        <n v="148.41390000000001"/>
        <n v="298.44909999999999"/>
        <n v="79.532200000000003"/>
        <n v="108.9145"/>
        <n v="13.6845"/>
        <n v="48.209899999999998"/>
        <n v="377.06670000000003"/>
        <n v="235.6353"/>
        <n v="68.522199999999998"/>
        <n v="132.93620000000001"/>
        <n v="279.04329999999999"/>
        <n v="36.981999999999999"/>
        <n v="286.64269999999999"/>
        <n v="19.5566"/>
        <n v="78.583100000000002"/>
        <n v="26.803899999999999"/>
        <n v="1159.0908999999999"/>
        <n v="32.086300000000001"/>
        <n v="313.26670000000001"/>
        <n v="42.233600000000003"/>
        <n v="2.1654"/>
        <n v="63.823"/>
        <n v="26.927600000000002"/>
        <n v="42.188299999999998"/>
      </sharedItems>
    </cacheField>
    <cacheField name="GrowthRate" numFmtId="0">
      <sharedItems containsSemiMixedTypes="0" containsString="0" containsNumber="1" minValue="0.91200000000000003" maxValue="1.0690999999999999" count="180">
        <n v="1.0257000000000001"/>
        <n v="0.99570000000000003"/>
        <n v="1.0164"/>
        <n v="0.98309999999999997"/>
        <n v="1.01"/>
        <n v="1.0315000000000001"/>
        <n v="1.0065999999999999"/>
        <n v="1.0058"/>
        <n v="1.0052000000000001"/>
        <n v="0.99619999999999997"/>
        <n v="0.99909999999999999"/>
        <n v="1.0099"/>
        <n v="1.002"/>
        <n v="1.0044"/>
        <n v="1.0051000000000001"/>
        <n v="1.0061"/>
        <n v="1.0107999999999999"/>
        <n v="1.0015000000000001"/>
        <n v="0.99550000000000005"/>
        <n v="1.0038"/>
        <n v="1.0130999999999999"/>
        <n v="1.0274000000000001"/>
        <n v="1"/>
        <n v="1.0064"/>
        <n v="1.012"/>
        <n v="0.98860000000000003"/>
        <n v="1.0162"/>
        <n v="1.0045999999999999"/>
        <n v="1.0059"/>
        <n v="1.0081"/>
        <n v="0.9849"/>
        <n v="1.0259"/>
        <n v="1.0269999999999999"/>
        <n v="1.0263"/>
        <n v="1.0078"/>
        <n v="1.0088999999999999"/>
        <n v="1.0084"/>
        <n v="1.0224"/>
        <n v="1.0316000000000001"/>
        <n v="1.0057"/>
        <n v="1.0068999999999999"/>
        <n v="1.0184"/>
        <n v="1.0004999999999999"/>
        <n v="0.99270000000000003"/>
        <n v="0.99609999999999999"/>
        <n v="1.0043"/>
        <n v="0.99839999999999995"/>
        <n v="1.0047999999999999"/>
        <n v="1.0138"/>
        <n v="1.0044999999999999"/>
        <n v="1.0325"/>
        <n v="1.0114000000000001"/>
        <n v="1.0158"/>
        <n v="1.0035000000000001"/>
        <n v="1.0246999999999999"/>
        <n v="1.0176000000000001"/>
        <n v="0.998"/>
        <n v="1.0079"/>
        <n v="1.0056"/>
        <n v="1.0008999999999999"/>
        <n v="1.0239"/>
        <n v="1.0074000000000001"/>
        <n v="1.0204"/>
        <n v="1.0249999999999999"/>
        <n v="0.99639999999999995"/>
        <n v="0.99950000000000006"/>
        <n v="1.0196000000000001"/>
        <n v="0.99939999999999996"/>
        <n v="0.99419999999999997"/>
        <n v="1.004"/>
        <n v="0.99919999999999998"/>
        <n v="1.0073000000000001"/>
        <n v="1.0134000000000001"/>
        <n v="1.0037"/>
        <n v="1.0242"/>
        <n v="1.0218"/>
        <n v="1.0149999999999999"/>
        <n v="1.0265"/>
        <n v="1.0067999999999999"/>
        <n v="1.0071000000000001"/>
        <n v="1.0221"/>
        <n v="1.0029999999999999"/>
        <n v="1.0155000000000001"/>
        <n v="0.99660000000000004"/>
        <n v="1.0247999999999999"/>
        <n v="0.99990000000000001"/>
        <n v="0.99470000000000003"/>
        <n v="1.0105999999999999"/>
        <n v="1.0123"/>
        <n v="1.0105"/>
        <n v="1.0193000000000001"/>
        <n v="1.0183"/>
        <n v="1.0141"/>
        <n v="0.98760000000000003"/>
        <n v="0.98160000000000003"/>
        <n v="1.0106999999999999"/>
        <n v="1.0209999999999999"/>
        <n v="0.9869"/>
        <n v="1.0128999999999999"/>
        <n v="1.0125"/>
        <n v="1.0241"/>
        <n v="1.0108999999999999"/>
        <n v="1.0314000000000001"/>
        <n v="1.0124"/>
        <n v="0.99650000000000005"/>
        <n v="1.0004"/>
        <n v="1.0319"/>
        <n v="1.0063"/>
        <n v="1.0091000000000001"/>
        <n v="1.0690999999999999"/>
        <n v="0.99409999999999998"/>
        <n v="1.0150999999999999"/>
        <n v="0.99880000000000002"/>
        <n v="0.99390000000000001"/>
        <n v="1.0103"/>
        <n v="1.0278"/>
        <n v="1.0145999999999999"/>
        <n v="1.0170999999999999"/>
        <n v="1.0036"/>
        <n v="1.0075000000000001"/>
        <n v="1.0143"/>
        <n v="1.0378000000000001"/>
        <n v="0.99850000000000005"/>
        <n v="0.99539999999999995"/>
        <n v="1.0014000000000001"/>
        <n v="1.0190999999999999"/>
        <n v="1.0017"/>
        <n v="1.0226999999999999"/>
        <n v="1.0132000000000001"/>
        <n v="1.0194000000000001"/>
        <n v="1.0115000000000001"/>
        <n v="1.0146999999999999"/>
        <n v="1.0404"/>
        <n v="0.99809999999999999"/>
        <n v="0.99890000000000001"/>
        <n v="1.0025999999999999"/>
        <n v="1.0230999999999999"/>
        <n v="1.0082"/>
        <n v="0.99729999999999996"/>
        <n v="1.0234000000000001"/>
        <n v="1.0098"/>
        <n v="1.0011000000000001"/>
        <n v="0.99509999999999998"/>
        <n v="0.99629999999999996"/>
        <n v="1.0165"/>
        <n v="0.99750000000000005"/>
        <n v="1.0192000000000001"/>
        <n v="1.0127999999999999"/>
        <n v="1.0261"/>
        <n v="0.98970000000000002"/>
        <n v="1.022"/>
        <n v="1.0359"/>
        <n v="1.0002"/>
        <n v="1.0232000000000001"/>
        <n v="1.0311999999999999"/>
        <n v="0.99970000000000003"/>
        <n v="1.0153000000000001"/>
        <n v="1.0026999999999999"/>
        <n v="1.0266999999999999"/>
        <n v="1.0376000000000001"/>
        <n v="1.0207999999999999"/>
        <n v="1.03"/>
        <n v="1.0013000000000001"/>
        <n v="1.0154000000000001"/>
        <n v="1.0236000000000001"/>
        <n v="1.0119"/>
        <n v="1.0076000000000001"/>
        <n v="1.0066999999999999"/>
        <n v="1.014"/>
        <n v="1.0096000000000001"/>
        <n v="1.0304"/>
        <n v="0.91200000000000003"/>
        <n v="1.0034000000000001"/>
        <n v="0.99370000000000003"/>
        <n v="0.999"/>
        <n v="1.016"/>
        <n v="1.0238"/>
        <n v="0.99529999999999996"/>
        <n v="1.0217000000000001"/>
        <n v="1.028"/>
      </sharedItems>
    </cacheField>
    <cacheField name="WorldPercentage" numFmtId="10">
      <sharedItems containsSemiMixedTypes="0" containsString="0" containsNumber="1" minValue="0" maxValue="0.1787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4">
  <r>
    <x v="0"/>
    <s v="AF"/>
    <x v="0"/>
    <x v="0"/>
    <x v="0"/>
    <x v="0"/>
    <n v="38972.230000000003"/>
    <n v="74075.233999999997"/>
    <n v="50330.837"/>
    <n v="33753.499000000003"/>
    <n v="28189.671999999999"/>
    <n v="19542.982"/>
    <n v="10694.796"/>
    <n v="12486.630999999999"/>
    <x v="0"/>
    <x v="0"/>
    <x v="0"/>
    <x v="0"/>
    <x v="0"/>
    <n v="5.1999999999999998E-3"/>
  </r>
  <r>
    <x v="1"/>
    <s v="AL"/>
    <x v="1"/>
    <x v="1"/>
    <x v="1"/>
    <x v="1"/>
    <n v="2866.8490000000002"/>
    <n v="2456.4720000000002"/>
    <n v="2789.5990000000002"/>
    <n v="2882.4810000000002"/>
    <n v="2913.3989999999999"/>
    <n v="3182.0210000000002"/>
    <n v="3295.0659999999998"/>
    <n v="2941.6509999999998"/>
    <x v="1"/>
    <x v="1"/>
    <x v="1"/>
    <x v="1"/>
    <x v="1"/>
    <n v="4.0000000000000002E-4"/>
  </r>
  <r>
    <x v="2"/>
    <s v="DZ"/>
    <x v="2"/>
    <x v="2"/>
    <x v="2"/>
    <x v="2"/>
    <n v="43451.665999999997"/>
    <n v="60001.112999999998"/>
    <n v="49787.283000000003"/>
    <n v="39543.154000000002"/>
    <n v="35856.343999999997"/>
    <n v="30774.620999999999"/>
    <n v="25518.074000000001"/>
    <n v="18739.378000000001"/>
    <x v="2"/>
    <x v="2"/>
    <x v="2"/>
    <x v="2"/>
    <x v="2"/>
    <n v="5.5999999999999999E-3"/>
  </r>
  <r>
    <x v="3"/>
    <s v="AS"/>
    <x v="3"/>
    <x v="3"/>
    <x v="3"/>
    <x v="3"/>
    <n v="46.189"/>
    <n v="33.557000000000002"/>
    <n v="41.142000000000003"/>
    <n v="51.368000000000002"/>
    <n v="54.848999999999997"/>
    <n v="58.23"/>
    <n v="47.817999999999998"/>
    <n v="32.886000000000003"/>
    <x v="3"/>
    <x v="3"/>
    <x v="3"/>
    <x v="3"/>
    <x v="3"/>
    <n v="0"/>
  </r>
  <r>
    <x v="4"/>
    <s v="AD"/>
    <x v="4"/>
    <x v="1"/>
    <x v="4"/>
    <x v="4"/>
    <n v="77.7"/>
    <n v="80.504000000000005"/>
    <n v="81.528000000000006"/>
    <n v="71.745999999999995"/>
    <n v="71.519000000000005"/>
    <n v="66.096999999999994"/>
    <n v="53.569000000000003"/>
    <n v="35.610999999999997"/>
    <x v="4"/>
    <x v="4"/>
    <x v="4"/>
    <x v="4"/>
    <x v="4"/>
    <n v="0"/>
  </r>
  <r>
    <x v="5"/>
    <s v="AO"/>
    <x v="5"/>
    <x v="2"/>
    <x v="5"/>
    <x v="5"/>
    <n v="33428.485999999997"/>
    <n v="72328.067999999999"/>
    <n v="44911.663999999997"/>
    <n v="28127.721000000001"/>
    <n v="23364.185000000001"/>
    <n v="16394.062000000002"/>
    <n v="11828.638000000001"/>
    <n v="8330.0470000000005"/>
    <x v="5"/>
    <x v="5"/>
    <x v="5"/>
    <x v="5"/>
    <x v="5"/>
    <n v="4.4999999999999997E-3"/>
  </r>
  <r>
    <x v="6"/>
    <s v="AI"/>
    <x v="6"/>
    <x v="4"/>
    <x v="6"/>
    <x v="6"/>
    <n v="15.585000000000001"/>
    <n v="15.294"/>
    <n v="16.055"/>
    <n v="14.525"/>
    <n v="13.172000000000001"/>
    <n v="11.047000000000001"/>
    <n v="8.3160000000000007"/>
    <n v="6.56"/>
    <x v="6"/>
    <x v="6"/>
    <x v="6"/>
    <x v="6"/>
    <x v="6"/>
    <n v="0"/>
  </r>
  <r>
    <x v="7"/>
    <s v="AG"/>
    <x v="7"/>
    <x v="4"/>
    <x v="7"/>
    <x v="7"/>
    <n v="92.664000000000001"/>
    <n v="99.03"/>
    <n v="97.51"/>
    <n v="89.941000000000003"/>
    <n v="85.694999999999993"/>
    <n v="75.055000000000007"/>
    <n v="63.328000000000003"/>
    <n v="64.888999999999996"/>
    <x v="7"/>
    <x v="7"/>
    <x v="7"/>
    <x v="7"/>
    <x v="7"/>
    <n v="0"/>
  </r>
  <r>
    <x v="8"/>
    <s v="AR"/>
    <x v="8"/>
    <x v="5"/>
    <x v="8"/>
    <x v="8"/>
    <n v="45036.031999999999"/>
    <n v="51621.175000000003"/>
    <n v="47678.559999999998"/>
    <n v="43257.065000000002"/>
    <n v="41100.123"/>
    <n v="37070.773999999998"/>
    <n v="32637.656999999999"/>
    <n v="28024.803"/>
    <x v="8"/>
    <x v="8"/>
    <x v="8"/>
    <x v="8"/>
    <x v="8"/>
    <n v="5.7000000000000002E-3"/>
  </r>
  <r>
    <x v="9"/>
    <s v="AM"/>
    <x v="9"/>
    <x v="0"/>
    <x v="9"/>
    <x v="9"/>
    <n v="2805.6080000000002"/>
    <n v="2573.4650000000001"/>
    <n v="2759.5279999999998"/>
    <n v="2878.5949999999998"/>
    <n v="2946.2930000000001"/>
    <n v="3168.5230000000001"/>
    <n v="3556.5390000000002"/>
    <n v="3135.123"/>
    <x v="9"/>
    <x v="9"/>
    <x v="9"/>
    <x v="9"/>
    <x v="9"/>
    <n v="2.9999999999999997E-4"/>
  </r>
  <r>
    <x v="10"/>
    <s v="AW"/>
    <x v="10"/>
    <x v="4"/>
    <x v="10"/>
    <x v="10"/>
    <n v="106.58499999999999"/>
    <n v="94.185000000000002"/>
    <n v="104.92400000000001"/>
    <n v="104.25700000000001"/>
    <n v="100.34099999999999"/>
    <n v="89.100999999999999"/>
    <n v="65.712000000000003"/>
    <n v="62.267000000000003"/>
    <x v="10"/>
    <x v="10"/>
    <x v="10"/>
    <x v="10"/>
    <x v="10"/>
    <n v="0"/>
  </r>
  <r>
    <x v="11"/>
    <s v="AU"/>
    <x v="11"/>
    <x v="3"/>
    <x v="11"/>
    <x v="11"/>
    <n v="25670.050999999999"/>
    <n v="32192.919000000002"/>
    <n v="28202.414000000001"/>
    <n v="23820.236000000001"/>
    <n v="22019.168000000001"/>
    <n v="19017.963"/>
    <n v="17048.003000000001"/>
    <n v="14706.322"/>
    <x v="11"/>
    <x v="11"/>
    <x v="11"/>
    <x v="11"/>
    <x v="11"/>
    <n v="3.3E-3"/>
  </r>
  <r>
    <x v="12"/>
    <s v="AT"/>
    <x v="12"/>
    <x v="1"/>
    <x v="12"/>
    <x v="12"/>
    <n v="8907.777"/>
    <n v="8924.19"/>
    <n v="9054.5759999999991"/>
    <n v="8642.4210000000003"/>
    <n v="8362.8289999999997"/>
    <n v="8010.4279999999999"/>
    <n v="7678.7290000000003"/>
    <n v="7547.5609999999997"/>
    <x v="12"/>
    <x v="12"/>
    <x v="12"/>
    <x v="12"/>
    <x v="12"/>
    <n v="1.1000000000000001E-3"/>
  </r>
  <r>
    <x v="13"/>
    <s v="AZ"/>
    <x v="13"/>
    <x v="0"/>
    <x v="13"/>
    <x v="13"/>
    <n v="10284.950999999999"/>
    <n v="10867.296"/>
    <n v="10711.138000000001"/>
    <n v="9863.48"/>
    <n v="9237.2019999999993"/>
    <n v="8190.3370000000004"/>
    <n v="7427.8360000000002"/>
    <n v="6383.06"/>
    <x v="13"/>
    <x v="13"/>
    <x v="13"/>
    <x v="13"/>
    <x v="13"/>
    <n v="1.2999999999999999E-3"/>
  </r>
  <r>
    <x v="14"/>
    <s v="BS"/>
    <x v="14"/>
    <x v="4"/>
    <x v="14"/>
    <x v="14"/>
    <n v="406.471"/>
    <n v="450.625"/>
    <n v="429.846"/>
    <n v="392.697"/>
    <n v="373.27199999999999"/>
    <n v="325.01400000000001"/>
    <n v="270.67899999999997"/>
    <n v="223.75200000000001"/>
    <x v="14"/>
    <x v="14"/>
    <x v="14"/>
    <x v="14"/>
    <x v="14"/>
    <n v="1E-4"/>
  </r>
  <r>
    <x v="15"/>
    <s v="BH"/>
    <x v="15"/>
    <x v="0"/>
    <x v="15"/>
    <x v="15"/>
    <n v="1477.4690000000001"/>
    <n v="1809.2370000000001"/>
    <n v="1574.6790000000001"/>
    <n v="1362.1420000000001"/>
    <n v="1213.645"/>
    <n v="711.44200000000001"/>
    <n v="517.41800000000001"/>
    <n v="362.59500000000003"/>
    <x v="15"/>
    <x v="15"/>
    <x v="15"/>
    <x v="15"/>
    <x v="15"/>
    <n v="2.0000000000000001E-4"/>
  </r>
  <r>
    <x v="16"/>
    <s v="BD"/>
    <x v="16"/>
    <x v="0"/>
    <x v="16"/>
    <x v="16"/>
    <n v="167420.951"/>
    <n v="203904.9"/>
    <n v="184424.144"/>
    <n v="157830"/>
    <n v="148391.139"/>
    <n v="129193.327"/>
    <n v="107147.651"/>
    <n v="83929.764999999999"/>
    <x v="16"/>
    <x v="16"/>
    <x v="16"/>
    <x v="16"/>
    <x v="16"/>
    <n v="2.1499999999999998E-2"/>
  </r>
  <r>
    <x v="17"/>
    <s v="BB"/>
    <x v="17"/>
    <x v="4"/>
    <x v="17"/>
    <x v="17"/>
    <n v="280.69299999999998"/>
    <n v="267.78800000000001"/>
    <n v="283.08199999999999"/>
    <n v="278.08300000000003"/>
    <n v="274.71100000000001"/>
    <n v="264.65699999999998"/>
    <n v="258.86799999999999"/>
    <n v="253.57499999999999"/>
    <x v="17"/>
    <x v="17"/>
    <x v="17"/>
    <x v="17"/>
    <x v="17"/>
    <n v="0"/>
  </r>
  <r>
    <x v="18"/>
    <s v="BY"/>
    <x v="18"/>
    <x v="1"/>
    <x v="18"/>
    <x v="18"/>
    <n v="9633.74"/>
    <n v="8409.6319999999996"/>
    <n v="9206.17"/>
    <n v="9700.6090000000004"/>
    <n v="9731.4269999999997"/>
    <n v="10256.483"/>
    <n v="10428.525"/>
    <n v="9817.2569999999996"/>
    <x v="18"/>
    <x v="18"/>
    <x v="18"/>
    <x v="18"/>
    <x v="18"/>
    <n v="1.1999999999999999E-3"/>
  </r>
  <r>
    <x v="19"/>
    <s v="BE"/>
    <x v="19"/>
    <x v="1"/>
    <x v="19"/>
    <x v="19"/>
    <n v="11561.717000000001"/>
    <n v="12090.656999999999"/>
    <n v="11873.46"/>
    <n v="11248.303"/>
    <n v="10877.947"/>
    <n v="10264.343000000001"/>
    <n v="9959.56"/>
    <n v="9828.9860000000008"/>
    <x v="19"/>
    <x v="19"/>
    <x v="19"/>
    <x v="19"/>
    <x v="19"/>
    <n v="1.5E-3"/>
  </r>
  <r>
    <x v="20"/>
    <s v="BZ"/>
    <x v="20"/>
    <x v="4"/>
    <x v="20"/>
    <x v="20"/>
    <n v="394.92099999999999"/>
    <n v="538.83799999999997"/>
    <n v="450.428"/>
    <n v="359.87099999999998"/>
    <n v="322.10599999999999"/>
    <n v="240.40600000000001"/>
    <n v="182.589"/>
    <n v="145.13300000000001"/>
    <x v="20"/>
    <x v="20"/>
    <x v="20"/>
    <x v="20"/>
    <x v="20"/>
    <n v="1E-4"/>
  </r>
  <r>
    <x v="21"/>
    <s v="BJ"/>
    <x v="21"/>
    <x v="2"/>
    <x v="21"/>
    <x v="21"/>
    <n v="12643.123"/>
    <n v="25264.035"/>
    <n v="16393.827000000001"/>
    <n v="10932.782999999999"/>
    <n v="9445.7099999999991"/>
    <n v="6998.0230000000001"/>
    <n v="5133.4189999999999"/>
    <n v="3833.9389999999999"/>
    <x v="21"/>
    <x v="21"/>
    <x v="21"/>
    <x v="21"/>
    <x v="21"/>
    <n v="1.6999999999999999E-3"/>
  </r>
  <r>
    <x v="22"/>
    <s v="BM"/>
    <x v="22"/>
    <x v="4"/>
    <x v="22"/>
    <x v="22"/>
    <n v="64.031000000000006"/>
    <n v="56.040999999999997"/>
    <n v="62.805999999999997"/>
    <n v="63.143999999999998"/>
    <n v="63.447000000000003"/>
    <n v="61.371000000000002"/>
    <n v="57.47"/>
    <n v="53.564999999999998"/>
    <x v="22"/>
    <x v="22"/>
    <x v="22"/>
    <x v="22"/>
    <x v="22"/>
    <n v="0"/>
  </r>
  <r>
    <x v="23"/>
    <s v="BT"/>
    <x v="23"/>
    <x v="0"/>
    <x v="23"/>
    <x v="23"/>
    <n v="772.50599999999997"/>
    <n v="874.29399999999998"/>
    <n v="821.49800000000005"/>
    <n v="743.274"/>
    <n v="705.51599999999996"/>
    <n v="587.20699999999999"/>
    <n v="558.44200000000001"/>
    <n v="415.25700000000001"/>
    <x v="23"/>
    <x v="23"/>
    <x v="23"/>
    <x v="23"/>
    <x v="23"/>
    <n v="1E-4"/>
  </r>
  <r>
    <x v="24"/>
    <s v="BO"/>
    <x v="24"/>
    <x v="5"/>
    <x v="24"/>
    <x v="24"/>
    <n v="11936.162"/>
    <n v="16609.853999999999"/>
    <n v="13625.507"/>
    <n v="11090.084999999999"/>
    <n v="10223.27"/>
    <n v="8592.6560000000009"/>
    <n v="7096.1940000000004"/>
    <n v="5736.0879999999997"/>
    <x v="24"/>
    <x v="24"/>
    <x v="24"/>
    <x v="24"/>
    <x v="24"/>
    <n v="1.5E-3"/>
  </r>
  <r>
    <x v="25"/>
    <s v="BA"/>
    <x v="25"/>
    <x v="1"/>
    <x v="25"/>
    <x v="25"/>
    <n v="3318.4070000000002"/>
    <n v="2739.0140000000001"/>
    <n v="3111.7890000000002"/>
    <n v="3524.3240000000001"/>
    <n v="3811.0880000000002"/>
    <n v="4179.3500000000004"/>
    <n v="4494.3100000000004"/>
    <n v="4199.82"/>
    <x v="25"/>
    <x v="25"/>
    <x v="25"/>
    <x v="25"/>
    <x v="25"/>
    <n v="4.0000000000000002E-4"/>
  </r>
  <r>
    <x v="26"/>
    <s v="BW"/>
    <x v="26"/>
    <x v="2"/>
    <x v="26"/>
    <x v="26"/>
    <n v="2546.402"/>
    <n v="3679.34"/>
    <n v="2972.2710000000002"/>
    <n v="2305.1709999999998"/>
    <n v="2091.6640000000002"/>
    <n v="1726.9849999999999"/>
    <n v="1341.4739999999999"/>
    <n v="938.57799999999997"/>
    <x v="26"/>
    <x v="26"/>
    <x v="26"/>
    <x v="26"/>
    <x v="26"/>
    <n v="2.9999999999999997E-4"/>
  </r>
  <r>
    <x v="27"/>
    <s v="BR"/>
    <x v="27"/>
    <x v="5"/>
    <x v="27"/>
    <x v="27"/>
    <n v="213196.304"/>
    <n v="230885.72500000001"/>
    <n v="223908.96799999999"/>
    <n v="205188.20499999999"/>
    <n v="196353.492"/>
    <n v="175873.72"/>
    <n v="150706.446"/>
    <n v="122288.383"/>
    <x v="27"/>
    <x v="27"/>
    <x v="27"/>
    <x v="27"/>
    <x v="27"/>
    <n v="2.7E-2"/>
  </r>
  <r>
    <x v="28"/>
    <s v="VG"/>
    <x v="28"/>
    <x v="4"/>
    <x v="28"/>
    <x v="28"/>
    <n v="30.91"/>
    <n v="34.768000000000001"/>
    <n v="32.994999999999997"/>
    <n v="29.366"/>
    <n v="27.556000000000001"/>
    <n v="20.103999999999999"/>
    <n v="15.617000000000001"/>
    <n v="11.109"/>
    <x v="28"/>
    <x v="28"/>
    <x v="28"/>
    <x v="28"/>
    <x v="28"/>
    <n v="0"/>
  </r>
  <r>
    <x v="29"/>
    <s v="BN"/>
    <x v="29"/>
    <x v="0"/>
    <x v="29"/>
    <x v="29"/>
    <n v="441.72500000000002"/>
    <n v="498.37299999999999"/>
    <n v="473.31200000000001"/>
    <n v="421.43700000000001"/>
    <n v="396.053"/>
    <n v="333.92599999999999"/>
    <n v="261.928"/>
    <n v="187.92099999999999"/>
    <x v="29"/>
    <x v="29"/>
    <x v="29"/>
    <x v="29"/>
    <x v="29"/>
    <n v="1E-4"/>
  </r>
  <r>
    <x v="30"/>
    <s v="BG"/>
    <x v="30"/>
    <x v="1"/>
    <x v="30"/>
    <x v="30"/>
    <n v="6979.1750000000002"/>
    <n v="5187.3919999999998"/>
    <n v="6290.1660000000002"/>
    <n v="7309.2529999999997"/>
    <n v="7592.2730000000001"/>
    <n v="8097.6909999999998"/>
    <n v="8767.7780000000002"/>
    <n v="8980.6059999999998"/>
    <x v="30"/>
    <x v="30"/>
    <x v="30"/>
    <x v="30"/>
    <x v="30"/>
    <n v="8.9999999999999998E-4"/>
  </r>
  <r>
    <x v="31"/>
    <s v="BF"/>
    <x v="31"/>
    <x v="2"/>
    <x v="31"/>
    <x v="31"/>
    <n v="21522.626"/>
    <n v="40541.548000000003"/>
    <n v="27523.562999999998"/>
    <n v="18718.019"/>
    <n v="16116.844999999999"/>
    <n v="11882.888000000001"/>
    <n v="9131.3610000000008"/>
    <n v="6932.9669999999996"/>
    <x v="31"/>
    <x v="31"/>
    <x v="31"/>
    <x v="31"/>
    <x v="31"/>
    <n v="2.8E-3"/>
  </r>
  <r>
    <x v="32"/>
    <s v="BI"/>
    <x v="32"/>
    <x v="2"/>
    <x v="32"/>
    <x v="32"/>
    <n v="12220.227000000001"/>
    <n v="24208.670999999998"/>
    <n v="15800.53"/>
    <n v="10727.147999999999"/>
    <n v="9126.6049999999996"/>
    <n v="6307.6589999999997"/>
    <n v="5483.7929999999997"/>
    <n v="4312.8339999999998"/>
    <x v="32"/>
    <x v="32"/>
    <x v="32"/>
    <x v="32"/>
    <x v="32"/>
    <n v="1.6000000000000001E-3"/>
  </r>
  <r>
    <x v="33"/>
    <s v="KH"/>
    <x v="33"/>
    <x v="0"/>
    <x v="33"/>
    <x v="33"/>
    <n v="16396.86"/>
    <n v="20258.435000000001"/>
    <n v="18084.248"/>
    <n v="15417.522999999999"/>
    <n v="14363.531999999999"/>
    <n v="12118.841"/>
    <n v="8910.8080000000009"/>
    <n v="6198.9589999999998"/>
    <x v="33"/>
    <x v="33"/>
    <x v="33"/>
    <x v="33"/>
    <x v="16"/>
    <n v="2.0999999999999999E-3"/>
  </r>
  <r>
    <x v="34"/>
    <s v="CM"/>
    <x v="34"/>
    <x v="2"/>
    <x v="34"/>
    <x v="34"/>
    <n v="26491.087"/>
    <n v="51279.56"/>
    <n v="34051.103000000003"/>
    <n v="23012.646000000001"/>
    <n v="19878.036"/>
    <n v="15091.593999999999"/>
    <n v="11430.52"/>
    <n v="8519.8909999999996"/>
    <x v="34"/>
    <x v="34"/>
    <x v="34"/>
    <x v="34"/>
    <x v="33"/>
    <n v="3.5000000000000001E-3"/>
  </r>
  <r>
    <x v="35"/>
    <s v="CA"/>
    <x v="35"/>
    <x v="4"/>
    <x v="35"/>
    <x v="35"/>
    <n v="37888.705000000002"/>
    <n v="45890.819000000003"/>
    <n v="41008.595999999998"/>
    <n v="35732.125999999997"/>
    <n v="33963.411999999997"/>
    <n v="30683.312999999998"/>
    <n v="27657.204000000002"/>
    <n v="24511.51"/>
    <x v="35"/>
    <x v="35"/>
    <x v="35"/>
    <x v="35"/>
    <x v="34"/>
    <n v="4.7999999999999996E-3"/>
  </r>
  <r>
    <x v="36"/>
    <s v="CV"/>
    <x v="36"/>
    <x v="2"/>
    <x v="36"/>
    <x v="36"/>
    <n v="582.64"/>
    <n v="727.45699999999999"/>
    <n v="638.84"/>
    <n v="552.16600000000005"/>
    <n v="521.21199999999999"/>
    <n v="458.25099999999998"/>
    <n v="364.56299999999999"/>
    <n v="317.23399999999998"/>
    <x v="36"/>
    <x v="36"/>
    <x v="36"/>
    <x v="36"/>
    <x v="35"/>
    <n v="1E-4"/>
  </r>
  <r>
    <x v="37"/>
    <s v="KY"/>
    <x v="37"/>
    <x v="4"/>
    <x v="37"/>
    <x v="37"/>
    <n v="67.311000000000007"/>
    <n v="77.632999999999996"/>
    <n v="72.864999999999995"/>
    <n v="60.911000000000001"/>
    <n v="54.073999999999998"/>
    <n v="39.658000000000001"/>
    <n v="26.027000000000001"/>
    <n v="17.100000000000001"/>
    <x v="37"/>
    <x v="37"/>
    <x v="37"/>
    <x v="37"/>
    <x v="36"/>
    <n v="0"/>
  </r>
  <r>
    <x v="38"/>
    <s v="CF"/>
    <x v="38"/>
    <x v="2"/>
    <x v="38"/>
    <x v="38"/>
    <n v="5343.02"/>
    <n v="11533.423000000001"/>
    <n v="7104.2740000000003"/>
    <n v="4819.3329999999996"/>
    <n v="4660.067"/>
    <n v="3759.17"/>
    <n v="2809.221"/>
    <n v="2415.2759999999998"/>
    <x v="38"/>
    <x v="38"/>
    <x v="38"/>
    <x v="38"/>
    <x v="37"/>
    <n v="6.9999999999999999E-4"/>
  </r>
  <r>
    <x v="39"/>
    <s v="TD"/>
    <x v="39"/>
    <x v="2"/>
    <x v="39"/>
    <x v="39"/>
    <n v="16644.701000000001"/>
    <n v="36452.035000000003"/>
    <n v="22460.393"/>
    <n v="14140.273999999999"/>
    <n v="11894.727000000001"/>
    <n v="8259.1370000000006"/>
    <n v="5827.0690000000004"/>
    <n v="4408.2299999999996"/>
    <x v="39"/>
    <x v="39"/>
    <x v="39"/>
    <x v="39"/>
    <x v="38"/>
    <n v="2.2000000000000001E-3"/>
  </r>
  <r>
    <x v="40"/>
    <s v="CL"/>
    <x v="40"/>
    <x v="5"/>
    <x v="40"/>
    <x v="40"/>
    <n v="19300.314999999999"/>
    <n v="20675.378000000001"/>
    <n v="19933.769"/>
    <n v="17870.124"/>
    <n v="17004.162"/>
    <n v="15351.799000000001"/>
    <n v="13342.868"/>
    <n v="11469.828"/>
    <x v="40"/>
    <x v="40"/>
    <x v="40"/>
    <x v="40"/>
    <x v="39"/>
    <n v="2.5000000000000001E-3"/>
  </r>
  <r>
    <x v="41"/>
    <s v="CN"/>
    <x v="41"/>
    <x v="0"/>
    <x v="41"/>
    <x v="41"/>
    <n v="1424929.781"/>
    <n v="1312636.325"/>
    <n v="1415605.906"/>
    <n v="1393715.4480000001"/>
    <n v="1348191.368"/>
    <n v="1264099.0689999999"/>
    <n v="1153704.2520000001"/>
    <n v="982372.46600000001"/>
    <x v="41"/>
    <x v="41"/>
    <x v="41"/>
    <x v="41"/>
    <x v="22"/>
    <n v="0.17879999999999999"/>
  </r>
  <r>
    <x v="42"/>
    <s v="CO"/>
    <x v="42"/>
    <x v="5"/>
    <x v="42"/>
    <x v="42"/>
    <n v="50930.661999999997"/>
    <n v="56987.650999999998"/>
    <n v="54129.764000000003"/>
    <n v="47119.728000000003"/>
    <n v="44816.108"/>
    <n v="39215.135000000002"/>
    <n v="32601.393"/>
    <n v="26176.195"/>
    <x v="42"/>
    <x v="42"/>
    <x v="42"/>
    <x v="42"/>
    <x v="40"/>
    <n v="6.4999999999999997E-3"/>
  </r>
  <r>
    <x v="43"/>
    <s v="KM"/>
    <x v="43"/>
    <x v="2"/>
    <x v="43"/>
    <x v="43"/>
    <n v="806.16600000000005"/>
    <n v="1246.2070000000001"/>
    <n v="959.41200000000003"/>
    <n v="730.21600000000001"/>
    <n v="656.024"/>
    <n v="536.75800000000004"/>
    <n v="431.11900000000003"/>
    <n v="328.32799999999997"/>
    <x v="43"/>
    <x v="43"/>
    <x v="43"/>
    <x v="43"/>
    <x v="41"/>
    <n v="1E-4"/>
  </r>
  <r>
    <x v="44"/>
    <s v="CK"/>
    <x v="44"/>
    <x v="3"/>
    <x v="44"/>
    <x v="44"/>
    <n v="17.029"/>
    <n v="17.673999999999999"/>
    <n v="17.253"/>
    <n v="17.695"/>
    <n v="17.212"/>
    <n v="15.897"/>
    <n v="17.123000000000001"/>
    <n v="17.651"/>
    <x v="44"/>
    <x v="44"/>
    <x v="37"/>
    <x v="44"/>
    <x v="42"/>
    <n v="0"/>
  </r>
  <r>
    <x v="45"/>
    <s v="CR"/>
    <x v="45"/>
    <x v="4"/>
    <x v="45"/>
    <x v="45"/>
    <n v="5123.1049999999996"/>
    <n v="5702.5249999999996"/>
    <n v="5432.2430000000004"/>
    <n v="4895.2420000000002"/>
    <n v="4622.2520000000004"/>
    <n v="3979.1930000000002"/>
    <n v="3158.2530000000002"/>
    <n v="2414.3029999999999"/>
    <x v="45"/>
    <x v="45"/>
    <x v="44"/>
    <x v="45"/>
    <x v="8"/>
    <n v="5.9999999999999995E-4"/>
  </r>
  <r>
    <x v="46"/>
    <s v="HR"/>
    <x v="46"/>
    <x v="1"/>
    <x v="46"/>
    <x v="46"/>
    <n v="4096.8689999999997"/>
    <n v="3333.4250000000002"/>
    <n v="3850.14"/>
    <n v="4254.8149999999996"/>
    <n v="4368.6819999999998"/>
    <n v="4548.4340000000002"/>
    <n v="4873.7070000000003"/>
    <n v="4680.1440000000002"/>
    <x v="46"/>
    <x v="46"/>
    <x v="45"/>
    <x v="46"/>
    <x v="43"/>
    <n v="5.0000000000000001E-4"/>
  </r>
  <r>
    <x v="47"/>
    <s v="CU"/>
    <x v="47"/>
    <x v="4"/>
    <x v="47"/>
    <x v="47"/>
    <n v="11300.698"/>
    <n v="10028.084999999999"/>
    <n v="11016.040999999999"/>
    <n v="11339.894"/>
    <n v="11290.416999999999"/>
    <n v="11105.790999999999"/>
    <n v="10626.68"/>
    <n v="9809.107"/>
    <x v="47"/>
    <x v="47"/>
    <x v="46"/>
    <x v="47"/>
    <x v="44"/>
    <n v="1.4E-3"/>
  </r>
  <r>
    <x v="48"/>
    <s v="CW"/>
    <x v="48"/>
    <x v="4"/>
    <x v="48"/>
    <x v="48"/>
    <n v="189.28800000000001"/>
    <n v="204.084"/>
    <n v="197.82900000000001"/>
    <n v="169.572"/>
    <n v="159.38"/>
    <n v="141.42400000000001"/>
    <n v="155.446"/>
    <n v="156.851"/>
    <x v="48"/>
    <x v="48"/>
    <x v="47"/>
    <x v="48"/>
    <x v="45"/>
    <n v="0"/>
  </r>
  <r>
    <x v="49"/>
    <s v="CY"/>
    <x v="49"/>
    <x v="1"/>
    <x v="49"/>
    <x v="49"/>
    <n v="1237.537"/>
    <n v="1391.7850000000001"/>
    <n v="1311.7840000000001"/>
    <n v="1187.28"/>
    <n v="1129.6859999999999"/>
    <n v="948.23699999999997"/>
    <n v="788.5"/>
    <n v="679.327"/>
    <x v="49"/>
    <x v="49"/>
    <x v="48"/>
    <x v="49"/>
    <x v="28"/>
    <n v="2.0000000000000001E-4"/>
  </r>
  <r>
    <x v="50"/>
    <s v="CZ"/>
    <x v="50"/>
    <x v="1"/>
    <x v="50"/>
    <x v="50"/>
    <n v="10530.953"/>
    <n v="10577.126"/>
    <n v="10515.199000000001"/>
    <n v="10523.798000000001"/>
    <n v="10464.749"/>
    <n v="10234.709999999999"/>
    <n v="10301.191999999999"/>
    <n v="10270.06"/>
    <x v="50"/>
    <x v="50"/>
    <x v="49"/>
    <x v="50"/>
    <x v="46"/>
    <n v="1.2999999999999999E-3"/>
  </r>
  <r>
    <x v="51"/>
    <s v="DK"/>
    <x v="51"/>
    <x v="1"/>
    <x v="51"/>
    <x v="51"/>
    <n v="5825.6409999999996"/>
    <n v="6445.1090000000004"/>
    <n v="6104.4740000000002"/>
    <n v="5677.7960000000003"/>
    <n v="5550.8490000000002"/>
    <n v="5340.6549999999997"/>
    <n v="5144.6229999999996"/>
    <n v="5125.3919999999998"/>
    <x v="51"/>
    <x v="51"/>
    <x v="50"/>
    <x v="51"/>
    <x v="47"/>
    <n v="6.9999999999999999E-4"/>
  </r>
  <r>
    <x v="52"/>
    <s v="DJ"/>
    <x v="52"/>
    <x v="2"/>
    <x v="52"/>
    <x v="52"/>
    <n v="1090.1559999999999"/>
    <n v="1502.575"/>
    <n v="1247.1289999999999"/>
    <n v="1006.259"/>
    <n v="919.19899999999996"/>
    <n v="742.03300000000002"/>
    <n v="577.173"/>
    <n v="324.12099999999998"/>
    <x v="52"/>
    <x v="52"/>
    <x v="51"/>
    <x v="52"/>
    <x v="48"/>
    <n v="1E-4"/>
  </r>
  <r>
    <x v="53"/>
    <s v="DM"/>
    <x v="53"/>
    <x v="4"/>
    <x v="53"/>
    <x v="53"/>
    <n v="71.995000000000005"/>
    <n v="74.167000000000002"/>
    <n v="74.988"/>
    <n v="70.007000000000005"/>
    <n v="68.754999999999995"/>
    <n v="68.346000000000004"/>
    <n v="69.480999999999995"/>
    <n v="72.977999999999994"/>
    <x v="53"/>
    <x v="53"/>
    <x v="52"/>
    <x v="53"/>
    <x v="49"/>
    <n v="0"/>
  </r>
  <r>
    <x v="54"/>
    <s v="DO"/>
    <x v="54"/>
    <x v="4"/>
    <x v="54"/>
    <x v="54"/>
    <n v="10999.664000000001"/>
    <n v="13180.540999999999"/>
    <n v="11982.522999999999"/>
    <n v="10405.832"/>
    <n v="9775.7549999999992"/>
    <n v="8540.7909999999993"/>
    <n v="7129.0039999999999"/>
    <n v="5755.8"/>
    <x v="54"/>
    <x v="54"/>
    <x v="53"/>
    <x v="54"/>
    <x v="4"/>
    <n v="1.4E-3"/>
  </r>
  <r>
    <x v="55"/>
    <s v="CD"/>
    <x v="55"/>
    <x v="2"/>
    <x v="55"/>
    <x v="55"/>
    <n v="92853.164000000004"/>
    <n v="217494.003"/>
    <n v="127582.053"/>
    <n v="78656.903999999995"/>
    <n v="66391.256999999998"/>
    <n v="48616.317000000003"/>
    <n v="35987.540999999997"/>
    <n v="26708.686000000002"/>
    <x v="55"/>
    <x v="55"/>
    <x v="54"/>
    <x v="55"/>
    <x v="50"/>
    <n v="1.24E-2"/>
  </r>
  <r>
    <x v="56"/>
    <s v="EC"/>
    <x v="56"/>
    <x v="5"/>
    <x v="56"/>
    <x v="56"/>
    <n v="17588.595000000001"/>
    <n v="22269.778999999999"/>
    <n v="19486.952000000001"/>
    <n v="16195.902"/>
    <n v="14989.584999999999"/>
    <n v="12626.507"/>
    <n v="10449.837"/>
    <n v="8135.8450000000003"/>
    <x v="56"/>
    <x v="56"/>
    <x v="55"/>
    <x v="56"/>
    <x v="51"/>
    <n v="2.3E-3"/>
  </r>
  <r>
    <x v="57"/>
    <s v="EG"/>
    <x v="57"/>
    <x v="2"/>
    <x v="57"/>
    <x v="57"/>
    <n v="107465.13400000001"/>
    <n v="160339.889"/>
    <n v="125151.72500000001"/>
    <n v="97723.798999999999"/>
    <n v="87252.413"/>
    <n v="71371.370999999999"/>
    <n v="57214.63"/>
    <n v="43748.555999999997"/>
    <x v="57"/>
    <x v="57"/>
    <x v="56"/>
    <x v="57"/>
    <x v="52"/>
    <n v="1.3899999999999999E-2"/>
  </r>
  <r>
    <x v="58"/>
    <s v="SV"/>
    <x v="58"/>
    <x v="4"/>
    <x v="58"/>
    <x v="58"/>
    <n v="6292.7309999999998"/>
    <n v="6636.8540000000003"/>
    <n v="6554.2240000000002"/>
    <n v="6231.0659999999998"/>
    <n v="6114.0339999999997"/>
    <n v="5958.482"/>
    <n v="5367.1790000000001"/>
    <n v="4508.9920000000002"/>
    <x v="58"/>
    <x v="58"/>
    <x v="57"/>
    <x v="58"/>
    <x v="53"/>
    <n v="8.0000000000000004E-4"/>
  </r>
  <r>
    <x v="59"/>
    <s v="GQ"/>
    <x v="59"/>
    <x v="2"/>
    <x v="59"/>
    <x v="59"/>
    <n v="1596.049"/>
    <n v="2790.5329999999999"/>
    <n v="1999.6780000000001"/>
    <n v="1346.973"/>
    <n v="1094.5239999999999"/>
    <n v="684.97699999999998"/>
    <n v="465.54899999999998"/>
    <n v="282.50900000000001"/>
    <x v="59"/>
    <x v="59"/>
    <x v="58"/>
    <x v="59"/>
    <x v="54"/>
    <n v="2.0000000000000001E-4"/>
  </r>
  <r>
    <x v="60"/>
    <s v="ER"/>
    <x v="60"/>
    <x v="2"/>
    <x v="60"/>
    <x v="60"/>
    <n v="3555.8679999999999"/>
    <n v="5964.0209999999997"/>
    <n v="4283.3549999999996"/>
    <n v="3340.0059999999999"/>
    <n v="3147.7269999999999"/>
    <n v="2392.88"/>
    <n v="2149.96"/>
    <n v="1657.982"/>
    <x v="60"/>
    <x v="60"/>
    <x v="59"/>
    <x v="60"/>
    <x v="55"/>
    <n v="5.0000000000000001E-4"/>
  </r>
  <r>
    <x v="61"/>
    <s v="EE"/>
    <x v="61"/>
    <x v="1"/>
    <x v="61"/>
    <x v="61"/>
    <n v="1329.444"/>
    <n v="1171.6949999999999"/>
    <n v="1289.441"/>
    <n v="1314.6569999999999"/>
    <n v="1331.5350000000001"/>
    <n v="1396.877"/>
    <n v="1570.674"/>
    <n v="1476.9829999999999"/>
    <x v="61"/>
    <x v="61"/>
    <x v="60"/>
    <x v="61"/>
    <x v="56"/>
    <n v="2.0000000000000001E-4"/>
  </r>
  <r>
    <x v="62"/>
    <s v="SZ"/>
    <x v="62"/>
    <x v="2"/>
    <x v="62"/>
    <x v="62"/>
    <n v="1180.655"/>
    <n v="1655.1210000000001"/>
    <n v="1305.9849999999999"/>
    <n v="1133.9359999999999"/>
    <n v="1099.92"/>
    <n v="1030.4960000000001"/>
    <n v="854.01099999999997"/>
    <n v="598.56399999999996"/>
    <x v="62"/>
    <x v="62"/>
    <x v="61"/>
    <x v="62"/>
    <x v="57"/>
    <n v="2.0000000000000001E-4"/>
  </r>
  <r>
    <x v="63"/>
    <s v="ET"/>
    <x v="63"/>
    <x v="2"/>
    <x v="63"/>
    <x v="63"/>
    <n v="117190.91099999999"/>
    <n v="214812.30900000001"/>
    <n v="149296.378"/>
    <n v="102471.895"/>
    <n v="89237.790999999997"/>
    <n v="67031.866999999998"/>
    <n v="47878.072999999997"/>
    <n v="34945.468999999997"/>
    <x v="63"/>
    <x v="63"/>
    <x v="62"/>
    <x v="63"/>
    <x v="0"/>
    <n v="1.55E-2"/>
  </r>
  <r>
    <x v="64"/>
    <s v="FK"/>
    <x v="64"/>
    <x v="5"/>
    <x v="64"/>
    <x v="64"/>
    <n v="3.7469999999999999"/>
    <n v="3.7789999999999999"/>
    <n v="3.8690000000000002"/>
    <n v="3.4079999999999999"/>
    <n v="3.1869999999999998"/>
    <n v="3.08"/>
    <n v="2.3319999999999999"/>
    <n v="2.2400000000000002"/>
    <x v="64"/>
    <x v="64"/>
    <x v="63"/>
    <x v="64"/>
    <x v="45"/>
    <n v="0"/>
  </r>
  <r>
    <x v="65"/>
    <s v="FO"/>
    <x v="65"/>
    <x v="1"/>
    <x v="65"/>
    <x v="65"/>
    <n v="52.414999999999999"/>
    <n v="59.444000000000003"/>
    <n v="54.582999999999998"/>
    <n v="48.816000000000003"/>
    <n v="48.41"/>
    <n v="45.66"/>
    <n v="47.478999999999999"/>
    <n v="43.054000000000002"/>
    <x v="65"/>
    <x v="65"/>
    <x v="64"/>
    <x v="65"/>
    <x v="19"/>
    <n v="0"/>
  </r>
  <r>
    <x v="66"/>
    <s v="FJ"/>
    <x v="66"/>
    <x v="3"/>
    <x v="66"/>
    <x v="66"/>
    <n v="920.42200000000003"/>
    <n v="1094.174"/>
    <n v="986.17200000000003"/>
    <n v="917.2"/>
    <n v="905.16899999999998"/>
    <n v="832.50900000000001"/>
    <n v="780.43"/>
    <n v="644.58199999999999"/>
    <x v="66"/>
    <x v="66"/>
    <x v="65"/>
    <x v="66"/>
    <x v="58"/>
    <n v="1E-4"/>
  </r>
  <r>
    <x v="67"/>
    <s v="FI"/>
    <x v="67"/>
    <x v="1"/>
    <x v="67"/>
    <x v="67"/>
    <n v="5529.4679999999998"/>
    <n v="5460.9170000000004"/>
    <n v="5565.4750000000004"/>
    <n v="5479.4610000000002"/>
    <n v="5363.2709999999997"/>
    <n v="5176.2089999999998"/>
    <n v="4986.5450000000001"/>
    <n v="4779.4179999999997"/>
    <x v="67"/>
    <x v="67"/>
    <x v="66"/>
    <x v="67"/>
    <x v="59"/>
    <n v="6.9999999999999999E-4"/>
  </r>
  <r>
    <x v="68"/>
    <s v="FR"/>
    <x v="68"/>
    <x v="1"/>
    <x v="68"/>
    <x v="68"/>
    <n v="64480.053"/>
    <n v="65827.072"/>
    <n v="65543.452000000005"/>
    <n v="63809.769"/>
    <n v="62444.567000000003"/>
    <n v="58665.453000000001"/>
    <n v="56412.896999999997"/>
    <n v="53713.83"/>
    <x v="68"/>
    <x v="68"/>
    <x v="67"/>
    <x v="68"/>
    <x v="17"/>
    <n v="8.0999999999999996E-3"/>
  </r>
  <r>
    <x v="69"/>
    <s v="GF"/>
    <x v="69"/>
    <x v="5"/>
    <x v="69"/>
    <x v="69"/>
    <n v="290.96899999999999"/>
    <n v="532.45899999999995"/>
    <n v="366.66899999999998"/>
    <n v="257.02600000000001"/>
    <n v="228.453"/>
    <n v="164.351"/>
    <n v="113.931"/>
    <n v="66.825000000000003"/>
    <x v="69"/>
    <x v="69"/>
    <x v="68"/>
    <x v="69"/>
    <x v="60"/>
    <n v="0"/>
  </r>
  <r>
    <x v="70"/>
    <s v="PF"/>
    <x v="70"/>
    <x v="3"/>
    <x v="70"/>
    <x v="70"/>
    <n v="301.92"/>
    <n v="346.93299999999999"/>
    <n v="324.86"/>
    <n v="291.78699999999998"/>
    <n v="283.78800000000001"/>
    <n v="250.92699999999999"/>
    <n v="211.089"/>
    <n v="163.59100000000001"/>
    <x v="70"/>
    <x v="70"/>
    <x v="69"/>
    <x v="70"/>
    <x v="61"/>
    <n v="0"/>
  </r>
  <r>
    <x v="71"/>
    <s v="GA"/>
    <x v="71"/>
    <x v="2"/>
    <x v="71"/>
    <x v="71"/>
    <n v="2292.5729999999999"/>
    <n v="3757.0529999999999"/>
    <n v="2774.5230000000001"/>
    <n v="2028.5170000000001"/>
    <n v="1711.105"/>
    <n v="1272.9349999999999"/>
    <n v="983.02800000000002"/>
    <n v="749.07799999999997"/>
    <x v="71"/>
    <x v="71"/>
    <x v="70"/>
    <x v="71"/>
    <x v="62"/>
    <n v="2.9999999999999997E-4"/>
  </r>
  <r>
    <x v="72"/>
    <s v="GM"/>
    <x v="72"/>
    <x v="2"/>
    <x v="72"/>
    <x v="72"/>
    <n v="2573.9949999999999"/>
    <n v="4673.7430000000004"/>
    <n v="3263.6509999999998"/>
    <n v="2253.1329999999998"/>
    <n v="1937.2750000000001"/>
    <n v="1437.539"/>
    <n v="1040.616"/>
    <n v="718.58600000000001"/>
    <x v="72"/>
    <x v="72"/>
    <x v="71"/>
    <x v="72"/>
    <x v="63"/>
    <n v="2.9999999999999997E-4"/>
  </r>
  <r>
    <x v="73"/>
    <s v="GE"/>
    <x v="73"/>
    <x v="0"/>
    <x v="73"/>
    <x v="73"/>
    <n v="3765.9119999999998"/>
    <n v="3384.66"/>
    <n v="3657.4940000000001"/>
    <n v="3771.1320000000001"/>
    <n v="3836.8310000000001"/>
    <n v="4265.1719999999996"/>
    <n v="5391.6360000000004"/>
    <n v="5145.8429999999998"/>
    <x v="73"/>
    <x v="73"/>
    <x v="72"/>
    <x v="73"/>
    <x v="64"/>
    <n v="5.0000000000000001E-4"/>
  </r>
  <r>
    <x v="74"/>
    <s v="DE"/>
    <x v="74"/>
    <x v="1"/>
    <x v="74"/>
    <x v="74"/>
    <n v="83328.987999999998"/>
    <n v="78932.228000000003"/>
    <n v="82762.675000000003"/>
    <n v="82073.225999999995"/>
    <n v="81325.09"/>
    <n v="81551.676999999996"/>
    <n v="79370.195999999996"/>
    <n v="77786.702999999994"/>
    <x v="74"/>
    <x v="74"/>
    <x v="73"/>
    <x v="74"/>
    <x v="65"/>
    <n v="1.0500000000000001E-2"/>
  </r>
  <r>
    <x v="75"/>
    <s v="GH"/>
    <x v="75"/>
    <x v="2"/>
    <x v="75"/>
    <x v="75"/>
    <n v="32180.401000000002"/>
    <n v="52231.785000000003"/>
    <n v="38775.85"/>
    <n v="28870.938999999998"/>
    <n v="25574.719000000001"/>
    <n v="19665.502"/>
    <n v="15446.982"/>
    <n v="11865.245999999999"/>
    <x v="75"/>
    <x v="75"/>
    <x v="74"/>
    <x v="75"/>
    <x v="66"/>
    <n v="4.1999999999999997E-3"/>
  </r>
  <r>
    <x v="76"/>
    <s v="GI"/>
    <x v="76"/>
    <x v="1"/>
    <x v="76"/>
    <x v="76"/>
    <n v="32.709000000000003"/>
    <n v="31.356000000000002"/>
    <n v="32.771000000000001"/>
    <n v="32.520000000000003"/>
    <n v="31.262"/>
    <n v="27.741"/>
    <n v="27.317"/>
    <n v="28.734000000000002"/>
    <x v="76"/>
    <x v="76"/>
    <x v="75"/>
    <x v="76"/>
    <x v="67"/>
    <n v="0"/>
  </r>
  <r>
    <x v="77"/>
    <s v="GR"/>
    <x v="77"/>
    <x v="1"/>
    <x v="77"/>
    <x v="77"/>
    <n v="10512.232"/>
    <n v="9144.9509999999991"/>
    <n v="10059.703"/>
    <n v="10806.641"/>
    <n v="11033.782999999999"/>
    <n v="11038.109"/>
    <n v="10302.254999999999"/>
    <n v="9307.1479999999992"/>
    <x v="77"/>
    <x v="77"/>
    <x v="76"/>
    <x v="77"/>
    <x v="68"/>
    <n v="1.2999999999999999E-3"/>
  </r>
  <r>
    <x v="78"/>
    <s v="GL"/>
    <x v="78"/>
    <x v="4"/>
    <x v="78"/>
    <x v="78"/>
    <n v="56.026000000000003"/>
    <n v="53.997"/>
    <n v="57.152000000000001"/>
    <n v="55.895000000000003"/>
    <n v="56.350999999999999"/>
    <n v="56.183999999999997"/>
    <n v="55.598999999999997"/>
    <n v="50.106000000000002"/>
    <x v="78"/>
    <x v="78"/>
    <x v="77"/>
    <x v="78"/>
    <x v="69"/>
    <n v="0"/>
  </r>
  <r>
    <x v="79"/>
    <s v="GD"/>
    <x v="79"/>
    <x v="4"/>
    <x v="79"/>
    <x v="79"/>
    <n v="123.663"/>
    <n v="136.25299999999999"/>
    <n v="130.36699999999999"/>
    <n v="118.98"/>
    <n v="114.039"/>
    <n v="107.432"/>
    <n v="99.046999999999997"/>
    <n v="94.837999999999994"/>
    <x v="79"/>
    <x v="79"/>
    <x v="78"/>
    <x v="79"/>
    <x v="6"/>
    <n v="0"/>
  </r>
  <r>
    <x v="80"/>
    <s v="GP"/>
    <x v="80"/>
    <x v="4"/>
    <x v="80"/>
    <x v="80"/>
    <n v="395.642"/>
    <n v="388.86099999999999"/>
    <n v="399.72800000000001"/>
    <n v="399.089"/>
    <n v="403.072"/>
    <n v="424.06700000000001"/>
    <n v="391.95100000000002"/>
    <n v="334.23399999999998"/>
    <x v="80"/>
    <x v="80"/>
    <x v="79"/>
    <x v="80"/>
    <x v="70"/>
    <n v="0"/>
  </r>
  <r>
    <x v="81"/>
    <s v="GU"/>
    <x v="81"/>
    <x v="3"/>
    <x v="81"/>
    <x v="81"/>
    <n v="169.23099999999999"/>
    <n v="195.673"/>
    <n v="180.74600000000001"/>
    <n v="167.97800000000001"/>
    <n v="164.905"/>
    <n v="160.18799999999999"/>
    <n v="138.26300000000001"/>
    <n v="110.286"/>
    <x v="81"/>
    <x v="81"/>
    <x v="80"/>
    <x v="81"/>
    <x v="71"/>
    <n v="0"/>
  </r>
  <r>
    <x v="82"/>
    <s v="GT"/>
    <x v="82"/>
    <x v="4"/>
    <x v="82"/>
    <x v="82"/>
    <n v="17362.718000000001"/>
    <n v="24600.726999999999"/>
    <n v="20003.637999999999"/>
    <n v="16001.107"/>
    <n v="14543.120999999999"/>
    <n v="11735.894"/>
    <n v="9084.7800000000007"/>
    <n v="6987.7669999999998"/>
    <x v="82"/>
    <x v="82"/>
    <x v="81"/>
    <x v="82"/>
    <x v="72"/>
    <n v="2.2000000000000001E-3"/>
  </r>
  <r>
    <x v="83"/>
    <s v="GG"/>
    <x v="83"/>
    <x v="1"/>
    <x v="83"/>
    <x v="83"/>
    <n v="62.793999999999997"/>
    <n v="66.495999999999995"/>
    <n v="65.141000000000005"/>
    <n v="61.628999999999998"/>
    <n v="60.781999999999996"/>
    <n v="59.113999999999997"/>
    <n v="57.726999999999997"/>
    <n v="52.86"/>
    <x v="83"/>
    <x v="83"/>
    <x v="82"/>
    <x v="83"/>
    <x v="73"/>
    <n v="0"/>
  </r>
  <r>
    <x v="84"/>
    <s v="GN"/>
    <x v="84"/>
    <x v="2"/>
    <x v="84"/>
    <x v="84"/>
    <n v="13205.153"/>
    <n v="23711.7"/>
    <n v="16622.387999999999"/>
    <n v="11625.998"/>
    <n v="10270.727999999999"/>
    <n v="8336.9670000000006"/>
    <n v="6354.1450000000004"/>
    <n v="4972.6090000000004"/>
    <x v="84"/>
    <x v="84"/>
    <x v="83"/>
    <x v="84"/>
    <x v="74"/>
    <n v="1.6999999999999999E-3"/>
  </r>
  <r>
    <x v="85"/>
    <s v="GW"/>
    <x v="85"/>
    <x v="2"/>
    <x v="85"/>
    <x v="85"/>
    <n v="2015.828"/>
    <n v="3445.2890000000002"/>
    <n v="2484.8629999999998"/>
    <n v="1788.9190000000001"/>
    <n v="1567.22"/>
    <n v="1230.8489999999999"/>
    <n v="973.55100000000004"/>
    <n v="831.46199999999999"/>
    <x v="85"/>
    <x v="85"/>
    <x v="84"/>
    <x v="85"/>
    <x v="75"/>
    <n v="2.9999999999999997E-4"/>
  </r>
  <r>
    <x v="86"/>
    <s v="GY"/>
    <x v="86"/>
    <x v="5"/>
    <x v="86"/>
    <x v="86"/>
    <n v="797.202"/>
    <n v="878.74599999999998"/>
    <n v="848.03300000000002"/>
    <n v="755.03099999999995"/>
    <n v="747.93200000000002"/>
    <n v="759.05100000000004"/>
    <n v="747.11599999999999"/>
    <n v="778.17600000000004"/>
    <x v="86"/>
    <x v="86"/>
    <x v="85"/>
    <x v="86"/>
    <x v="8"/>
    <n v="1E-4"/>
  </r>
  <r>
    <x v="87"/>
    <s v="HT"/>
    <x v="87"/>
    <x v="4"/>
    <x v="87"/>
    <x v="87"/>
    <n v="11306.800999999999"/>
    <n v="15087.52"/>
    <n v="12700.005999999999"/>
    <n v="10563.757"/>
    <n v="9842.8799999999992"/>
    <n v="8360.2250000000004"/>
    <n v="6925.3310000000001"/>
    <n v="5646.6760000000004"/>
    <x v="87"/>
    <x v="87"/>
    <x v="86"/>
    <x v="87"/>
    <x v="24"/>
    <n v="1.5E-3"/>
  </r>
  <r>
    <x v="88"/>
    <s v="HN"/>
    <x v="88"/>
    <x v="4"/>
    <x v="88"/>
    <x v="88"/>
    <n v="10121.763000000001"/>
    <n v="14258.513999999999"/>
    <n v="11724.522000000001"/>
    <n v="9294.5049999999992"/>
    <n v="8450.9330000000009"/>
    <n v="6656.7250000000004"/>
    <n v="5053.2340000000004"/>
    <n v="3777.99"/>
    <x v="88"/>
    <x v="88"/>
    <x v="87"/>
    <x v="88"/>
    <x v="76"/>
    <n v="1.2999999999999999E-3"/>
  </r>
  <r>
    <x v="89"/>
    <s v="HK"/>
    <x v="89"/>
    <x v="0"/>
    <x v="89"/>
    <x v="89"/>
    <n v="7500.9579999999996"/>
    <n v="6975.3909999999996"/>
    <n v="7485.8869999999997"/>
    <n v="7399.8379999999997"/>
    <n v="7132.4380000000001"/>
    <n v="6731.1949999999997"/>
    <n v="5838.5739999999996"/>
    <n v="4978.5439999999999"/>
    <x v="89"/>
    <x v="89"/>
    <x v="88"/>
    <x v="89"/>
    <x v="70"/>
    <n v="8.9999999999999998E-4"/>
  </r>
  <r>
    <x v="90"/>
    <s v="HU"/>
    <x v="90"/>
    <x v="1"/>
    <x v="90"/>
    <x v="90"/>
    <n v="9750.5730000000003"/>
    <n v="8817.3960000000006"/>
    <n v="9642.9120000000003"/>
    <n v="9844.2459999999992"/>
    <n v="9986.8250000000007"/>
    <n v="10202.055"/>
    <n v="10375.989"/>
    <n v="10698.679"/>
    <x v="90"/>
    <x v="90"/>
    <x v="89"/>
    <x v="90"/>
    <x v="77"/>
    <n v="1.1999999999999999E-3"/>
  </r>
  <r>
    <x v="91"/>
    <s v="IS"/>
    <x v="91"/>
    <x v="1"/>
    <x v="91"/>
    <x v="91"/>
    <n v="366.66899999999998"/>
    <n v="408.78300000000002"/>
    <n v="390.33800000000002"/>
    <n v="331.06"/>
    <n v="318.33300000000003"/>
    <n v="281.46199999999999"/>
    <n v="255.01900000000001"/>
    <n v="228.26300000000001"/>
    <x v="91"/>
    <x v="91"/>
    <x v="90"/>
    <x v="91"/>
    <x v="40"/>
    <n v="0"/>
  </r>
  <r>
    <x v="92"/>
    <s v="IN"/>
    <x v="92"/>
    <x v="0"/>
    <x v="92"/>
    <x v="92"/>
    <n v="1396387.1270000001"/>
    <n v="1670490.5959999999"/>
    <n v="1514994.08"/>
    <n v="1322866.5049999999"/>
    <n v="1240613.6200000001"/>
    <n v="1059633.675"/>
    <n v="870452.16500000004"/>
    <n v="696828.38500000001"/>
    <x v="92"/>
    <x v="92"/>
    <x v="91"/>
    <x v="92"/>
    <x v="78"/>
    <n v="0.1777"/>
  </r>
  <r>
    <x v="93"/>
    <s v="ID"/>
    <x v="93"/>
    <x v="0"/>
    <x v="93"/>
    <x v="93"/>
    <n v="271857.96999999997"/>
    <n v="317225.21299999999"/>
    <n v="292150.09999999998"/>
    <n v="259091.97"/>
    <n v="244016.17300000001"/>
    <n v="214072.421"/>
    <n v="182159.87400000001"/>
    <n v="148177.09599999999"/>
    <x v="93"/>
    <x v="93"/>
    <x v="92"/>
    <x v="93"/>
    <x v="23"/>
    <n v="3.4500000000000003E-2"/>
  </r>
  <r>
    <x v="94"/>
    <s v="IR"/>
    <x v="94"/>
    <x v="0"/>
    <x v="94"/>
    <x v="94"/>
    <n v="87290.192999999999"/>
    <n v="99007.203999999998"/>
    <n v="92921.017000000007"/>
    <n v="81790.841"/>
    <n v="75373.854999999996"/>
    <n v="65544.383000000002"/>
    <n v="55793.629000000001"/>
    <n v="38520.663999999997"/>
    <x v="94"/>
    <x v="94"/>
    <x v="93"/>
    <x v="94"/>
    <x v="79"/>
    <n v="1.11E-2"/>
  </r>
  <r>
    <x v="95"/>
    <s v="IQ"/>
    <x v="95"/>
    <x v="0"/>
    <x v="95"/>
    <x v="95"/>
    <n v="42556.983999999997"/>
    <n v="74515.14"/>
    <n v="52800.824999999997"/>
    <n v="37757.813000000002"/>
    <n v="31264.875"/>
    <n v="24628.858"/>
    <n v="17658.381000000001"/>
    <n v="13653.369000000001"/>
    <x v="95"/>
    <x v="95"/>
    <x v="94"/>
    <x v="95"/>
    <x v="80"/>
    <n v="5.5999999999999999E-3"/>
  </r>
  <r>
    <x v="96"/>
    <s v="IE"/>
    <x v="96"/>
    <x v="1"/>
    <x v="96"/>
    <x v="96"/>
    <n v="4946.1189999999997"/>
    <n v="5724.6859999999997"/>
    <n v="5266.8810000000003"/>
    <n v="4665.76"/>
    <n v="4524.585"/>
    <n v="3768.95"/>
    <n v="3485.3739999999998"/>
    <n v="3391.3870000000002"/>
    <x v="96"/>
    <x v="96"/>
    <x v="95"/>
    <x v="96"/>
    <x v="71"/>
    <n v="5.9999999999999995E-4"/>
  </r>
  <r>
    <x v="97"/>
    <s v="IM"/>
    <x v="97"/>
    <x v="1"/>
    <x v="97"/>
    <x v="97"/>
    <n v="84.046000000000006"/>
    <n v="86.68"/>
    <n v="85.798000000000002"/>
    <n v="83.593000000000004"/>
    <n v="83.828000000000003"/>
    <n v="75.561999999999998"/>
    <n v="68.864999999999995"/>
    <n v="64.022000000000006"/>
    <x v="97"/>
    <x v="97"/>
    <x v="96"/>
    <x v="97"/>
    <x v="81"/>
    <n v="0"/>
  </r>
  <r>
    <x v="98"/>
    <s v="IL"/>
    <x v="98"/>
    <x v="0"/>
    <x v="98"/>
    <x v="98"/>
    <n v="8757.4889999999996"/>
    <n v="12991.79"/>
    <n v="10134.950999999999"/>
    <n v="8007.7780000000002"/>
    <n v="7328.4449999999997"/>
    <n v="6116.9579999999996"/>
    <n v="4803.2539999999999"/>
    <n v="3744.6080000000002"/>
    <x v="98"/>
    <x v="98"/>
    <x v="97"/>
    <x v="98"/>
    <x v="82"/>
    <n v="1.1000000000000001E-3"/>
  </r>
  <r>
    <x v="99"/>
    <s v="IT"/>
    <x v="99"/>
    <x v="1"/>
    <x v="99"/>
    <x v="99"/>
    <n v="59500.578999999998"/>
    <n v="52250.483999999997"/>
    <n v="57544.258000000002"/>
    <n v="60232.906000000003"/>
    <n v="59822.45"/>
    <n v="56966.396999999997"/>
    <n v="56756.561000000002"/>
    <n v="56329.482000000004"/>
    <x v="99"/>
    <x v="99"/>
    <x v="98"/>
    <x v="99"/>
    <x v="83"/>
    <n v="7.4000000000000003E-3"/>
  </r>
  <r>
    <x v="100"/>
    <s v="CI"/>
    <x v="100"/>
    <x v="2"/>
    <x v="100"/>
    <x v="100"/>
    <n v="26811.79"/>
    <n v="51358.243000000002"/>
    <n v="34211.271999999997"/>
    <n v="23596.741000000002"/>
    <n v="21120.042000000001"/>
    <n v="16799.669999999998"/>
    <n v="11910.54"/>
    <n v="8303.81"/>
    <x v="100"/>
    <x v="100"/>
    <x v="99"/>
    <x v="100"/>
    <x v="84"/>
    <n v="3.5000000000000001E-3"/>
  </r>
  <r>
    <x v="101"/>
    <s v="JM"/>
    <x v="101"/>
    <x v="4"/>
    <x v="101"/>
    <x v="101"/>
    <n v="2820.4360000000001"/>
    <n v="2493.8229999999999"/>
    <n v="2804.3560000000002"/>
    <n v="2794.4450000000002"/>
    <n v="2733.8960000000002"/>
    <n v="2612.2049999999999"/>
    <n v="2392.0300000000002"/>
    <n v="2135.5459999999998"/>
    <x v="101"/>
    <x v="101"/>
    <x v="100"/>
    <x v="101"/>
    <x v="85"/>
    <n v="4.0000000000000002E-4"/>
  </r>
  <r>
    <x v="102"/>
    <s v="JP"/>
    <x v="102"/>
    <x v="0"/>
    <x v="102"/>
    <x v="102"/>
    <n v="125244.761"/>
    <n v="103784.357"/>
    <n v="118514.802"/>
    <n v="127250.933"/>
    <n v="128105.431"/>
    <n v="126803.861"/>
    <n v="123686.321"/>
    <n v="117624.196"/>
    <x v="102"/>
    <x v="102"/>
    <x v="101"/>
    <x v="102"/>
    <x v="86"/>
    <n v="1.55E-2"/>
  </r>
  <r>
    <x v="103"/>
    <s v="JE"/>
    <x v="103"/>
    <x v="1"/>
    <x v="103"/>
    <x v="103"/>
    <n v="108.319"/>
    <n v="135.441"/>
    <n v="119.047"/>
    <n v="100.56100000000001"/>
    <n v="96.150999999999996"/>
    <n v="86.191999999999993"/>
    <n v="82.873999999999995"/>
    <n v="75.123999999999995"/>
    <x v="103"/>
    <x v="103"/>
    <x v="102"/>
    <x v="103"/>
    <x v="87"/>
    <n v="0"/>
  </r>
  <r>
    <x v="104"/>
    <s v="JO"/>
    <x v="104"/>
    <x v="0"/>
    <x v="104"/>
    <x v="104"/>
    <n v="10928.721"/>
    <n v="15005.941000000001"/>
    <n v="11933.395"/>
    <n v="9494.2459999999992"/>
    <n v="6931.2579999999998"/>
    <n v="5056.174"/>
    <n v="3480.587"/>
    <n v="2216.9029999999998"/>
    <x v="104"/>
    <x v="104"/>
    <x v="103"/>
    <x v="104"/>
    <x v="88"/>
    <n v="1.4E-3"/>
  </r>
  <r>
    <x v="105"/>
    <s v="KZ"/>
    <x v="105"/>
    <x v="0"/>
    <x v="105"/>
    <x v="105"/>
    <n v="18979.242999999999"/>
    <n v="25609.977999999999"/>
    <n v="21128.221000000001"/>
    <n v="17835.909"/>
    <n v="16627.837"/>
    <n v="15236.253000000001"/>
    <n v="16866.562999999998"/>
    <n v="14172.71"/>
    <x v="105"/>
    <x v="105"/>
    <x v="104"/>
    <x v="105"/>
    <x v="89"/>
    <n v="2.3999999999999998E-3"/>
  </r>
  <r>
    <x v="106"/>
    <s v="KE"/>
    <x v="106"/>
    <x v="2"/>
    <x v="106"/>
    <x v="106"/>
    <n v="51985.78"/>
    <n v="85211.739000000001"/>
    <n v="63103.942000000003"/>
    <n v="46851.487999999998"/>
    <n v="41517.894999999997"/>
    <n v="30851.606"/>
    <n v="23162.269"/>
    <n v="16187.124"/>
    <x v="106"/>
    <x v="106"/>
    <x v="105"/>
    <x v="106"/>
    <x v="90"/>
    <n v="6.7999999999999996E-3"/>
  </r>
  <r>
    <x v="107"/>
    <s v="KI"/>
    <x v="107"/>
    <x v="3"/>
    <x v="107"/>
    <x v="107"/>
    <n v="126.46299999999999"/>
    <n v="188.57"/>
    <n v="148.72"/>
    <n v="116.70699999999999"/>
    <n v="107.995"/>
    <n v="88.825999999999993"/>
    <n v="75.123999999999995"/>
    <n v="60.813000000000002"/>
    <x v="107"/>
    <x v="107"/>
    <x v="106"/>
    <x v="107"/>
    <x v="91"/>
    <n v="0"/>
  </r>
  <r>
    <x v="108"/>
    <s v="KW"/>
    <x v="108"/>
    <x v="0"/>
    <x v="108"/>
    <x v="108"/>
    <n v="4360.4440000000004"/>
    <n v="5155.4139999999998"/>
    <n v="4564.57"/>
    <n v="3908.7429999999999"/>
    <n v="2943.3560000000002"/>
    <n v="1934.9010000000001"/>
    <n v="1674.9380000000001"/>
    <n v="1493.87"/>
    <x v="108"/>
    <x v="108"/>
    <x v="107"/>
    <x v="108"/>
    <x v="13"/>
    <n v="5.0000000000000001E-4"/>
  </r>
  <r>
    <x v="109"/>
    <s v="KG"/>
    <x v="109"/>
    <x v="0"/>
    <x v="109"/>
    <x v="109"/>
    <n v="6424.8739999999998"/>
    <n v="9426.8580000000002"/>
    <n v="7435.3779999999997"/>
    <n v="5914.98"/>
    <n v="5483.7740000000003"/>
    <n v="4935.1819999999998"/>
    <n v="4394.7340000000004"/>
    <n v="3691.2089999999998"/>
    <x v="109"/>
    <x v="109"/>
    <x v="108"/>
    <x v="109"/>
    <x v="52"/>
    <n v="8.0000000000000004E-4"/>
  </r>
  <r>
    <x v="110"/>
    <s v="LA"/>
    <x v="110"/>
    <x v="0"/>
    <x v="110"/>
    <x v="110"/>
    <n v="7319.3990000000003"/>
    <n v="9775.5519999999997"/>
    <n v="8321.2870000000003"/>
    <n v="6787.4189999999999"/>
    <n v="6323.4179999999997"/>
    <n v="5430.8530000000001"/>
    <n v="4314.4430000000002"/>
    <n v="3297.5189999999998"/>
    <x v="110"/>
    <x v="110"/>
    <x v="109"/>
    <x v="110"/>
    <x v="92"/>
    <n v="8.9999999999999998E-4"/>
  </r>
  <r>
    <x v="111"/>
    <s v="LV"/>
    <x v="111"/>
    <x v="1"/>
    <x v="111"/>
    <x v="111"/>
    <n v="1897.0519999999999"/>
    <n v="1433.7280000000001"/>
    <n v="1701.338"/>
    <n v="1991.9549999999999"/>
    <n v="2101.5300000000002"/>
    <n v="2392.5300000000002"/>
    <n v="2689.3910000000001"/>
    <n v="2572.0369999999998"/>
    <x v="111"/>
    <x v="111"/>
    <x v="110"/>
    <x v="111"/>
    <x v="93"/>
    <n v="2.0000000000000001E-4"/>
  </r>
  <r>
    <x v="112"/>
    <s v="LB"/>
    <x v="112"/>
    <x v="0"/>
    <x v="112"/>
    <x v="112"/>
    <n v="5662.9229999999998"/>
    <n v="4937.5789999999997"/>
    <n v="4714.24"/>
    <n v="6398.94"/>
    <n v="4995.8"/>
    <n v="4320.6419999999998"/>
    <n v="3593.7"/>
    <n v="2963.7020000000002"/>
    <x v="112"/>
    <x v="112"/>
    <x v="111"/>
    <x v="112"/>
    <x v="94"/>
    <n v="6.9999999999999999E-4"/>
  </r>
  <r>
    <x v="113"/>
    <s v="LS"/>
    <x v="113"/>
    <x v="2"/>
    <x v="113"/>
    <x v="113"/>
    <n v="2254.1"/>
    <n v="2898.3690000000001"/>
    <n v="2501.9459999999999"/>
    <n v="2118.5210000000002"/>
    <n v="2022.7470000000001"/>
    <n v="1998.63"/>
    <n v="1798.9970000000001"/>
    <n v="1407.672"/>
    <x v="113"/>
    <x v="113"/>
    <x v="112"/>
    <x v="113"/>
    <x v="95"/>
    <n v="2.9999999999999997E-4"/>
  </r>
  <r>
    <x v="114"/>
    <s v="LR"/>
    <x v="114"/>
    <x v="2"/>
    <x v="114"/>
    <x v="114"/>
    <n v="5087.5839999999998"/>
    <n v="8890.7000000000007"/>
    <n v="6282.0739999999996"/>
    <n v="4612.3289999999997"/>
    <n v="4019.9560000000001"/>
    <n v="2895.2240000000002"/>
    <n v="2209.7310000000002"/>
    <n v="1932.1690000000001"/>
    <x v="114"/>
    <x v="114"/>
    <x v="113"/>
    <x v="114"/>
    <x v="96"/>
    <n v="6.9999999999999999E-4"/>
  </r>
  <r>
    <x v="115"/>
    <s v="LY"/>
    <x v="115"/>
    <x v="2"/>
    <x v="115"/>
    <x v="115"/>
    <n v="6653.942"/>
    <n v="8539.9760000000006"/>
    <n v="7394.8130000000001"/>
    <n v="6192.2349999999997"/>
    <n v="6491.9880000000003"/>
    <n v="5154.79"/>
    <n v="4236.9830000000002"/>
    <n v="2962.72"/>
    <x v="115"/>
    <x v="115"/>
    <x v="114"/>
    <x v="115"/>
    <x v="51"/>
    <n v="8.9999999999999998E-4"/>
  </r>
  <r>
    <x v="116"/>
    <s v="LI"/>
    <x v="116"/>
    <x v="1"/>
    <x v="116"/>
    <x v="116"/>
    <n v="38.756"/>
    <n v="42.286999999999999"/>
    <n v="41.03"/>
    <n v="37.354999999999997"/>
    <n v="35.926000000000002"/>
    <n v="33.026000000000003"/>
    <n v="28.765000000000001"/>
    <n v="25.003"/>
    <x v="116"/>
    <x v="116"/>
    <x v="115"/>
    <x v="116"/>
    <x v="61"/>
    <n v="0"/>
  </r>
  <r>
    <x v="117"/>
    <s v="LT"/>
    <x v="117"/>
    <x v="1"/>
    <x v="117"/>
    <x v="117"/>
    <n v="2820.2669999999998"/>
    <n v="2187.5500000000002"/>
    <n v="2558.9279999999999"/>
    <n v="2963.7649999999999"/>
    <n v="3139.0189999999998"/>
    <n v="3599.6370000000002"/>
    <n v="3785.8470000000002"/>
    <n v="3521.2060000000001"/>
    <x v="117"/>
    <x v="117"/>
    <x v="116"/>
    <x v="117"/>
    <x v="97"/>
    <n v="2.9999999999999997E-4"/>
  </r>
  <r>
    <x v="118"/>
    <s v="LU"/>
    <x v="118"/>
    <x v="1"/>
    <x v="118"/>
    <x v="118"/>
    <n v="630.399"/>
    <n v="781.91"/>
    <n v="697.08600000000001"/>
    <n v="569.40800000000002"/>
    <n v="507.07"/>
    <n v="435.62799999999999"/>
    <n v="381.267"/>
    <n v="363.74099999999999"/>
    <x v="118"/>
    <x v="118"/>
    <x v="117"/>
    <x v="118"/>
    <x v="98"/>
    <n v="1E-4"/>
  </r>
  <r>
    <x v="119"/>
    <s v="MO"/>
    <x v="119"/>
    <x v="0"/>
    <x v="119"/>
    <x v="119"/>
    <n v="676.28300000000002"/>
    <n v="881.66600000000005"/>
    <n v="763.37099999999998"/>
    <n v="615.23900000000003"/>
    <n v="557.29700000000003"/>
    <n v="431.89600000000002"/>
    <n v="350.22699999999998"/>
    <n v="245.33199999999999"/>
    <x v="119"/>
    <x v="119"/>
    <x v="118"/>
    <x v="119"/>
    <x v="99"/>
    <n v="1E-4"/>
  </r>
  <r>
    <x v="120"/>
    <s v="MG"/>
    <x v="120"/>
    <x v="2"/>
    <x v="120"/>
    <x v="120"/>
    <n v="28225.177"/>
    <n v="51592.964999999997"/>
    <n v="35604.442999999999"/>
    <n v="24850.912"/>
    <n v="21731.053"/>
    <n v="16216.431"/>
    <n v="11882.762000000001"/>
    <n v="8948.1620000000003"/>
    <x v="120"/>
    <x v="120"/>
    <x v="119"/>
    <x v="120"/>
    <x v="100"/>
    <n v="3.7000000000000002E-3"/>
  </r>
  <r>
    <x v="121"/>
    <s v="MW"/>
    <x v="121"/>
    <x v="2"/>
    <x v="121"/>
    <x v="121"/>
    <n v="19377.061000000002"/>
    <n v="37159.300000000003"/>
    <n v="24944.242999999999"/>
    <n v="16938.941999999999"/>
    <n v="14718.422"/>
    <n v="11229.387000000001"/>
    <n v="9539.6650000000009"/>
    <n v="6267.3689999999997"/>
    <x v="121"/>
    <x v="121"/>
    <x v="120"/>
    <x v="121"/>
    <x v="31"/>
    <n v="2.5999999999999999E-3"/>
  </r>
  <r>
    <x v="122"/>
    <s v="MY"/>
    <x v="122"/>
    <x v="0"/>
    <x v="122"/>
    <x v="122"/>
    <n v="33199.993000000002"/>
    <n v="41032.432999999997"/>
    <n v="36687.569000000003"/>
    <n v="31068.832999999999"/>
    <n v="28717.731"/>
    <n v="22945.15"/>
    <n v="17517.054"/>
    <n v="13215.707"/>
    <x v="122"/>
    <x v="122"/>
    <x v="121"/>
    <x v="122"/>
    <x v="101"/>
    <n v="4.3E-3"/>
  </r>
  <r>
    <x v="123"/>
    <s v="MV"/>
    <x v="123"/>
    <x v="0"/>
    <x v="123"/>
    <x v="123"/>
    <n v="514.43799999999999"/>
    <n v="569.90899999999999"/>
    <n v="512.68299999999999"/>
    <n v="435.58199999999999"/>
    <n v="361.57499999999999"/>
    <n v="282.50700000000001"/>
    <n v="224.95699999999999"/>
    <n v="164.887"/>
    <x v="123"/>
    <x v="123"/>
    <x v="122"/>
    <x v="123"/>
    <x v="49"/>
    <n v="1E-4"/>
  </r>
  <r>
    <x v="124"/>
    <s v="ML"/>
    <x v="124"/>
    <x v="2"/>
    <x v="124"/>
    <x v="124"/>
    <n v="21224.04"/>
    <n v="47439.802000000003"/>
    <n v="28712.294000000002"/>
    <n v="18112.906999999999"/>
    <n v="15529.181"/>
    <n v="11239.101000000001"/>
    <n v="8945.0259999999998"/>
    <n v="7372.5810000000001"/>
    <x v="124"/>
    <x v="124"/>
    <x v="123"/>
    <x v="124"/>
    <x v="102"/>
    <n v="2.8E-3"/>
  </r>
  <r>
    <x v="125"/>
    <s v="MT"/>
    <x v="125"/>
    <x v="1"/>
    <x v="125"/>
    <x v="125"/>
    <n v="515.35799999999995"/>
    <n v="522.73699999999997"/>
    <n v="543.42499999999995"/>
    <n v="456.57900000000001"/>
    <n v="418.755"/>
    <n v="399.21199999999999"/>
    <n v="365.392"/>
    <n v="333.58699999999999"/>
    <x v="125"/>
    <x v="125"/>
    <x v="124"/>
    <x v="125"/>
    <x v="103"/>
    <n v="1E-4"/>
  </r>
  <r>
    <x v="126"/>
    <s v="MH"/>
    <x v="126"/>
    <x v="3"/>
    <x v="126"/>
    <x v="126"/>
    <n v="43.412999999999997"/>
    <n v="51.210999999999999"/>
    <n v="44.732999999999997"/>
    <n v="49.41"/>
    <n v="53.415999999999997"/>
    <n v="54.223999999999997"/>
    <n v="46.046999999999997"/>
    <n v="31.988"/>
    <x v="126"/>
    <x v="126"/>
    <x v="10"/>
    <x v="126"/>
    <x v="25"/>
    <n v="0"/>
  </r>
  <r>
    <x v="127"/>
    <s v="MQ"/>
    <x v="127"/>
    <x v="4"/>
    <x v="127"/>
    <x v="127"/>
    <n v="370.39100000000002"/>
    <n v="330.12099999999998"/>
    <n v="362.47199999999998"/>
    <n v="383.51499999999999"/>
    <n v="392.18099999999998"/>
    <n v="432.54300000000001"/>
    <n v="374.27100000000002"/>
    <n v="333.786"/>
    <x v="127"/>
    <x v="127"/>
    <x v="125"/>
    <x v="127"/>
    <x v="104"/>
    <n v="0"/>
  </r>
  <r>
    <x v="128"/>
    <s v="MR"/>
    <x v="128"/>
    <x v="2"/>
    <x v="128"/>
    <x v="128"/>
    <n v="4498.6040000000003"/>
    <n v="8914.6730000000007"/>
    <n v="5830.5630000000001"/>
    <n v="3946.22"/>
    <n v="3419.4609999999998"/>
    <n v="2695.0030000000002"/>
    <n v="2006.027"/>
    <n v="1506.694"/>
    <x v="128"/>
    <x v="128"/>
    <x v="126"/>
    <x v="128"/>
    <x v="33"/>
    <n v="5.9999999999999995E-4"/>
  </r>
  <r>
    <x v="129"/>
    <s v="MU"/>
    <x v="129"/>
    <x v="2"/>
    <x v="129"/>
    <x v="129"/>
    <n v="1297.828"/>
    <n v="1226.2349999999999"/>
    <n v="1305.425"/>
    <n v="1293.153"/>
    <n v="1283.33"/>
    <n v="1215.93"/>
    <n v="1090.29"/>
    <n v="954.86500000000001"/>
    <x v="129"/>
    <x v="129"/>
    <x v="127"/>
    <x v="129"/>
    <x v="105"/>
    <n v="2.0000000000000001E-4"/>
  </r>
  <r>
    <x v="130"/>
    <s v="YT"/>
    <x v="130"/>
    <x v="2"/>
    <x v="130"/>
    <x v="130"/>
    <n v="305.58699999999999"/>
    <n v="664.14099999999996"/>
    <n v="407.57900000000001"/>
    <n v="249.54499999999999"/>
    <n v="211.786"/>
    <n v="159.215"/>
    <n v="92.659000000000006"/>
    <n v="52.232999999999997"/>
    <x v="130"/>
    <x v="130"/>
    <x v="128"/>
    <x v="130"/>
    <x v="106"/>
    <n v="0"/>
  </r>
  <r>
    <x v="131"/>
    <s v="MX"/>
    <x v="131"/>
    <x v="4"/>
    <x v="131"/>
    <x v="131"/>
    <n v="125998.302"/>
    <n v="143772.364"/>
    <n v="134534.10699999999"/>
    <n v="120149.897"/>
    <n v="112532.401"/>
    <n v="97873.441999999995"/>
    <n v="81720.428"/>
    <n v="67705.186000000002"/>
    <x v="131"/>
    <x v="131"/>
    <x v="129"/>
    <x v="131"/>
    <x v="107"/>
    <n v="1.6E-2"/>
  </r>
  <r>
    <x v="132"/>
    <s v="FM"/>
    <x v="132"/>
    <x v="3"/>
    <x v="132"/>
    <x v="132"/>
    <n v="112.10599999999999"/>
    <n v="135.45699999999999"/>
    <n v="122.70399999999999"/>
    <n v="109.462"/>
    <n v="107.58799999999999"/>
    <n v="111.709"/>
    <n v="98.602999999999994"/>
    <n v="76.299000000000007"/>
    <x v="132"/>
    <x v="132"/>
    <x v="130"/>
    <x v="132"/>
    <x v="108"/>
    <n v="0"/>
  </r>
  <r>
    <x v="133"/>
    <s v="MD"/>
    <x v="133"/>
    <x v="1"/>
    <x v="133"/>
    <x v="133"/>
    <n v="3084.8470000000002"/>
    <n v="2997.5320000000002"/>
    <n v="3174.7269999999999"/>
    <n v="3277.3879999999999"/>
    <n v="3678.1860000000001"/>
    <n v="4251.5730000000003"/>
    <n v="4480.1989999999996"/>
    <n v="4103.24"/>
    <x v="133"/>
    <x v="133"/>
    <x v="131"/>
    <x v="133"/>
    <x v="109"/>
    <n v="4.0000000000000002E-4"/>
  </r>
  <r>
    <x v="134"/>
    <s v="MC"/>
    <x v="134"/>
    <x v="1"/>
    <x v="134"/>
    <x v="134"/>
    <n v="36.921999999999997"/>
    <n v="37.664000000000001"/>
    <n v="35.862000000000002"/>
    <n v="36.76"/>
    <n v="33.177999999999997"/>
    <n v="32.465000000000003"/>
    <n v="30.329000000000001"/>
    <n v="27.076000000000001"/>
    <x v="134"/>
    <x v="134"/>
    <x v="132"/>
    <x v="134"/>
    <x v="110"/>
    <n v="0"/>
  </r>
  <r>
    <x v="135"/>
    <s v="MN"/>
    <x v="135"/>
    <x v="0"/>
    <x v="135"/>
    <x v="135"/>
    <n v="3294.335"/>
    <n v="4518.8559999999998"/>
    <n v="3736.3270000000002"/>
    <n v="2964.7489999999998"/>
    <n v="2702.52"/>
    <n v="2450.9789999999998"/>
    <n v="2161.433"/>
    <n v="1697.78"/>
    <x v="135"/>
    <x v="135"/>
    <x v="133"/>
    <x v="135"/>
    <x v="111"/>
    <n v="4.0000000000000002E-4"/>
  </r>
  <r>
    <x v="136"/>
    <s v="ME"/>
    <x v="136"/>
    <x v="1"/>
    <x v="136"/>
    <x v="136"/>
    <n v="629.048"/>
    <n v="586.38499999999999"/>
    <n v="621.69600000000003"/>
    <n v="633.96600000000001"/>
    <n v="631.04399999999998"/>
    <n v="633.32399999999996"/>
    <n v="621.44200000000001"/>
    <n v="589.32399999999996"/>
    <x v="136"/>
    <x v="136"/>
    <x v="134"/>
    <x v="136"/>
    <x v="112"/>
    <n v="1E-4"/>
  </r>
  <r>
    <x v="137"/>
    <s v="MS"/>
    <x v="137"/>
    <x v="4"/>
    <x v="137"/>
    <x v="137"/>
    <n v="4.5"/>
    <n v="3.7810000000000001"/>
    <n v="4.3010000000000002"/>
    <n v="5.0590000000000002"/>
    <n v="4.9379999999999997"/>
    <n v="5.1379999999999999"/>
    <n v="10.805"/>
    <n v="11.452"/>
    <x v="137"/>
    <x v="137"/>
    <x v="135"/>
    <x v="137"/>
    <x v="113"/>
    <n v="0"/>
  </r>
  <r>
    <x v="138"/>
    <s v="MA"/>
    <x v="138"/>
    <x v="2"/>
    <x v="138"/>
    <x v="138"/>
    <n v="36688.771999999997"/>
    <n v="45044.99"/>
    <n v="40226.394999999997"/>
    <n v="34680.457999999999"/>
    <n v="32464.865000000002"/>
    <n v="28554.415000000001"/>
    <n v="24570.813999999998"/>
    <n v="19678.444"/>
    <x v="138"/>
    <x v="138"/>
    <x v="136"/>
    <x v="138"/>
    <x v="114"/>
    <n v="4.7000000000000002E-3"/>
  </r>
  <r>
    <x v="139"/>
    <s v="MZ"/>
    <x v="139"/>
    <x v="2"/>
    <x v="139"/>
    <x v="139"/>
    <n v="31178.239000000001"/>
    <n v="63044.497000000003"/>
    <n v="40920.707000000002"/>
    <n v="26843.245999999999"/>
    <n v="23073.723000000002"/>
    <n v="17768.505000000001"/>
    <n v="13303.459000000001"/>
    <n v="11413.587"/>
    <x v="139"/>
    <x v="139"/>
    <x v="137"/>
    <x v="139"/>
    <x v="115"/>
    <n v="4.1000000000000003E-3"/>
  </r>
  <r>
    <x v="140"/>
    <s v="MM"/>
    <x v="140"/>
    <x v="0"/>
    <x v="140"/>
    <x v="140"/>
    <n v="53423.197999999997"/>
    <n v="59929.398999999998"/>
    <n v="56987.625"/>
    <n v="51483.949000000001"/>
    <n v="49390.987999999998"/>
    <n v="45538.332000000002"/>
    <n v="40099.553"/>
    <n v="33465.781000000003"/>
    <x v="140"/>
    <x v="140"/>
    <x v="138"/>
    <x v="140"/>
    <x v="79"/>
    <n v="6.7999999999999996E-3"/>
  </r>
  <r>
    <x v="141"/>
    <s v="NA"/>
    <x v="141"/>
    <x v="2"/>
    <x v="141"/>
    <x v="141"/>
    <n v="2489.098"/>
    <n v="3779.9180000000001"/>
    <n v="2910.056"/>
    <n v="2282.7040000000002"/>
    <n v="2099.2710000000002"/>
    <n v="1819.1410000000001"/>
    <n v="1369.011"/>
    <n v="975.99400000000003"/>
    <x v="141"/>
    <x v="141"/>
    <x v="139"/>
    <x v="141"/>
    <x v="116"/>
    <n v="2.9999999999999997E-4"/>
  </r>
  <r>
    <x v="142"/>
    <s v="NR"/>
    <x v="142"/>
    <x v="3"/>
    <x v="142"/>
    <x v="142"/>
    <n v="12.315"/>
    <n v="14.695"/>
    <n v="13.358000000000001"/>
    <n v="11.185"/>
    <n v="10.241"/>
    <n v="10.377000000000001"/>
    <n v="9.5980000000000008"/>
    <n v="7.6349999999999998"/>
    <x v="142"/>
    <x v="142"/>
    <x v="140"/>
    <x v="142"/>
    <x v="99"/>
    <n v="0"/>
  </r>
  <r>
    <x v="143"/>
    <s v="NP"/>
    <x v="143"/>
    <x v="0"/>
    <x v="143"/>
    <x v="143"/>
    <n v="29348.627"/>
    <n v="37401.364999999998"/>
    <n v="33133.394999999997"/>
    <n v="27610.325000000001"/>
    <n v="27161.566999999999"/>
    <n v="24559.5"/>
    <n v="19616.53"/>
    <n v="15600.441999999999"/>
    <x v="143"/>
    <x v="143"/>
    <x v="141"/>
    <x v="143"/>
    <x v="117"/>
    <n v="3.8E-3"/>
  </r>
  <r>
    <x v="144"/>
    <s v="NL"/>
    <x v="144"/>
    <x v="1"/>
    <x v="144"/>
    <x v="144"/>
    <n v="17434.557000000001"/>
    <n v="17897.025000000001"/>
    <n v="17943.803"/>
    <n v="17041.107"/>
    <n v="16617.116999999998"/>
    <n v="15899.135"/>
    <n v="14944.548000000001"/>
    <n v="14130.387000000001"/>
    <x v="144"/>
    <x v="144"/>
    <x v="142"/>
    <x v="144"/>
    <x v="118"/>
    <n v="2.2000000000000001E-3"/>
  </r>
  <r>
    <x v="145"/>
    <s v="NC"/>
    <x v="145"/>
    <x v="3"/>
    <x v="145"/>
    <x v="145"/>
    <n v="286.40300000000002"/>
    <n v="353.19099999999997"/>
    <n v="312.529"/>
    <n v="283.03199999999998"/>
    <n v="261.42599999999999"/>
    <n v="221.53700000000001"/>
    <n v="177.26400000000001"/>
    <n v="148.59899999999999"/>
    <x v="145"/>
    <x v="145"/>
    <x v="143"/>
    <x v="145"/>
    <x v="119"/>
    <n v="0"/>
  </r>
  <r>
    <x v="146"/>
    <s v="NZ"/>
    <x v="146"/>
    <x v="3"/>
    <x v="146"/>
    <x v="146"/>
    <n v="5061.1329999999998"/>
    <n v="5949.0020000000004"/>
    <n v="5495.67"/>
    <n v="4590.59"/>
    <n v="4346.3379999999997"/>
    <n v="3855.2660000000001"/>
    <n v="3397.3890000000001"/>
    <n v="3147.1680000000001"/>
    <x v="146"/>
    <x v="146"/>
    <x v="144"/>
    <x v="146"/>
    <x v="16"/>
    <n v="6.9999999999999999E-4"/>
  </r>
  <r>
    <x v="147"/>
    <s v="NI"/>
    <x v="147"/>
    <x v="4"/>
    <x v="147"/>
    <x v="147"/>
    <n v="6755.8950000000004"/>
    <n v="9094.6409999999996"/>
    <n v="7688.6859999999997"/>
    <n v="6298.598"/>
    <n v="5855.7340000000004"/>
    <n v="5123.2219999999998"/>
    <n v="4227.82"/>
    <n v="3303.3090000000002"/>
    <x v="147"/>
    <x v="147"/>
    <x v="145"/>
    <x v="147"/>
    <x v="120"/>
    <n v="8.9999999999999998E-4"/>
  </r>
  <r>
    <x v="148"/>
    <s v="NE"/>
    <x v="148"/>
    <x v="2"/>
    <x v="148"/>
    <x v="148"/>
    <n v="24333.638999999999"/>
    <n v="67043.296000000002"/>
    <n v="35217.942000000003"/>
    <n v="20128.124"/>
    <n v="16647.543000000001"/>
    <n v="11622.665000000001"/>
    <n v="8370.6479999999992"/>
    <n v="6173.1769999999997"/>
    <x v="148"/>
    <x v="148"/>
    <x v="146"/>
    <x v="148"/>
    <x v="121"/>
    <n v="3.3E-3"/>
  </r>
  <r>
    <x v="149"/>
    <s v="NG"/>
    <x v="149"/>
    <x v="2"/>
    <x v="149"/>
    <x v="149"/>
    <n v="208327.405"/>
    <n v="377459.88299999997"/>
    <n v="262580.42599999998"/>
    <n v="183995.785"/>
    <n v="160952.853"/>
    <n v="122851.984"/>
    <n v="95214.256999999998"/>
    <n v="72951.438999999998"/>
    <x v="149"/>
    <x v="149"/>
    <x v="147"/>
    <x v="149"/>
    <x v="100"/>
    <n v="2.7400000000000001E-2"/>
  </r>
  <r>
    <x v="150"/>
    <s v="NU"/>
    <x v="150"/>
    <x v="3"/>
    <x v="150"/>
    <x v="150"/>
    <n v="1.9419999999999999"/>
    <n v="2.0960000000000001"/>
    <n v="1.948"/>
    <n v="1.847"/>
    <n v="1.8120000000000001"/>
    <n v="2.0739999999999998"/>
    <n v="2.5329999999999999"/>
    <n v="3.637"/>
    <x v="150"/>
    <x v="150"/>
    <x v="148"/>
    <x v="150"/>
    <x v="122"/>
    <n v="0"/>
  </r>
  <r>
    <x v="151"/>
    <s v="KP"/>
    <x v="151"/>
    <x v="0"/>
    <x v="151"/>
    <x v="151"/>
    <n v="25867.467000000001"/>
    <n v="25807.197"/>
    <n v="26569.401000000002"/>
    <n v="25258.014999999999"/>
    <n v="24686.435000000001"/>
    <n v="23367.059000000001"/>
    <n v="20799.523000000001"/>
    <n v="17973.650000000001"/>
    <x v="151"/>
    <x v="151"/>
    <x v="149"/>
    <x v="151"/>
    <x v="19"/>
    <n v="3.3E-3"/>
  </r>
  <r>
    <x v="152"/>
    <s v="MK"/>
    <x v="152"/>
    <x v="1"/>
    <x v="152"/>
    <x v="152"/>
    <n v="2111.0720000000001"/>
    <n v="1909.309"/>
    <n v="2072.2559999999999"/>
    <n v="2107.962"/>
    <n v="2093.828"/>
    <n v="2037.9359999999999"/>
    <n v="2044.174"/>
    <n v="1907.0229999999999"/>
    <x v="152"/>
    <x v="152"/>
    <x v="150"/>
    <x v="152"/>
    <x v="123"/>
    <n v="2.9999999999999997E-4"/>
  </r>
  <r>
    <x v="153"/>
    <s v="MP"/>
    <x v="153"/>
    <x v="3"/>
    <x v="153"/>
    <x v="153"/>
    <n v="49.587000000000003"/>
    <n v="50.05"/>
    <n v="51.177999999999997"/>
    <n v="51.514000000000003"/>
    <n v="54.087000000000003"/>
    <n v="80.337999999999994"/>
    <n v="48.002000000000002"/>
    <n v="17.613"/>
    <x v="153"/>
    <x v="153"/>
    <x v="151"/>
    <x v="153"/>
    <x v="124"/>
    <n v="0"/>
  </r>
  <r>
    <x v="154"/>
    <s v="NO"/>
    <x v="154"/>
    <x v="1"/>
    <x v="154"/>
    <x v="154"/>
    <n v="5379.8389999999999"/>
    <n v="6367.5590000000002"/>
    <n v="5748.3969999999999"/>
    <n v="5190.3559999999998"/>
    <n v="4889.741"/>
    <n v="4491.2020000000002"/>
    <n v="4241.6360000000004"/>
    <n v="4085.7759999999998"/>
    <x v="154"/>
    <x v="154"/>
    <x v="152"/>
    <x v="154"/>
    <x v="7"/>
    <n v="6.9999999999999999E-4"/>
  </r>
  <r>
    <x v="155"/>
    <s v="OM"/>
    <x v="155"/>
    <x v="0"/>
    <x v="155"/>
    <x v="155"/>
    <n v="4543.3990000000003"/>
    <n v="6328.9780000000001"/>
    <n v="5093.3760000000002"/>
    <n v="4191.7759999999998"/>
    <n v="2881.9140000000002"/>
    <n v="2344.2530000000002"/>
    <n v="1804.5239999999999"/>
    <n v="1017.462"/>
    <x v="155"/>
    <x v="155"/>
    <x v="153"/>
    <x v="155"/>
    <x v="88"/>
    <n v="5.9999999999999995E-4"/>
  </r>
  <r>
    <x v="156"/>
    <s v="PK"/>
    <x v="156"/>
    <x v="0"/>
    <x v="156"/>
    <x v="156"/>
    <n v="227196.74100000001"/>
    <n v="367808.46799999999"/>
    <n v="274029.83600000001"/>
    <n v="210969.29800000001"/>
    <n v="194454.49799999999"/>
    <n v="154369.924"/>
    <n v="115414.069"/>
    <n v="80624.057000000001"/>
    <x v="156"/>
    <x v="156"/>
    <x v="154"/>
    <x v="156"/>
    <x v="125"/>
    <n v="2.9600000000000001E-2"/>
  </r>
  <r>
    <x v="157"/>
    <s v="PW"/>
    <x v="157"/>
    <x v="3"/>
    <x v="157"/>
    <x v="157"/>
    <n v="17.972000000000001"/>
    <n v="16.689"/>
    <n v="17.919"/>
    <n v="17.794"/>
    <n v="18.54"/>
    <n v="19.725999999999999"/>
    <n v="15.292999999999999"/>
    <n v="12.252000000000001"/>
    <x v="157"/>
    <x v="157"/>
    <x v="151"/>
    <x v="157"/>
    <x v="126"/>
    <n v="0"/>
  </r>
  <r>
    <x v="158"/>
    <s v="PS"/>
    <x v="158"/>
    <x v="0"/>
    <x v="158"/>
    <x v="158"/>
    <n v="5019.4009999999998"/>
    <n v="8861.7469999999994"/>
    <n v="6256.9489999999996"/>
    <n v="4484.6139999999996"/>
    <n v="3992.2779999999998"/>
    <n v="3139.9540000000002"/>
    <n v="2124.6089999999999"/>
    <n v="1453.62"/>
    <x v="158"/>
    <x v="158"/>
    <x v="155"/>
    <x v="158"/>
    <x v="127"/>
    <n v="6.9999999999999999E-4"/>
  </r>
  <r>
    <x v="159"/>
    <s v="PA"/>
    <x v="159"/>
    <x v="4"/>
    <x v="159"/>
    <x v="159"/>
    <n v="4294.3959999999997"/>
    <n v="5736.1210000000001"/>
    <n v="4864.1260000000002"/>
    <n v="3957.0990000000002"/>
    <n v="3623.6170000000002"/>
    <n v="3001.7310000000002"/>
    <n v="2449.9679999999998"/>
    <n v="1956.9870000000001"/>
    <x v="159"/>
    <x v="159"/>
    <x v="156"/>
    <x v="159"/>
    <x v="128"/>
    <n v="5.9999999999999995E-4"/>
  </r>
  <r>
    <x v="160"/>
    <s v="PG"/>
    <x v="160"/>
    <x v="3"/>
    <x v="160"/>
    <x v="160"/>
    <n v="9749.64"/>
    <n v="14910.369000000001"/>
    <n v="11615.322"/>
    <n v="8682.1740000000009"/>
    <n v="7583.2690000000002"/>
    <n v="5508.2969999999996"/>
    <n v="3864.9720000000002"/>
    <n v="3104.788"/>
    <x v="160"/>
    <x v="160"/>
    <x v="157"/>
    <x v="160"/>
    <x v="129"/>
    <n v="1.2999999999999999E-3"/>
  </r>
  <r>
    <x v="161"/>
    <s v="PY"/>
    <x v="161"/>
    <x v="5"/>
    <x v="161"/>
    <x v="161"/>
    <n v="6618.6949999999997"/>
    <n v="8591.4860000000008"/>
    <n v="7425.4480000000003"/>
    <n v="6177.95"/>
    <n v="5768.6130000000003"/>
    <n v="5123.8190000000004"/>
    <n v="4059.1950000000002"/>
    <n v="3078.9119999999998"/>
    <x v="161"/>
    <x v="161"/>
    <x v="158"/>
    <x v="161"/>
    <x v="130"/>
    <n v="8.9999999999999998E-4"/>
  </r>
  <r>
    <x v="162"/>
    <s v="PE"/>
    <x v="162"/>
    <x v="5"/>
    <x v="162"/>
    <x v="162"/>
    <n v="33304.756000000001"/>
    <n v="42022.553999999996"/>
    <n v="36702.392999999996"/>
    <n v="30711.863000000001"/>
    <n v="29229.572"/>
    <n v="26654.438999999998"/>
    <n v="22109.098999999998"/>
    <n v="17492.405999999999"/>
    <x v="162"/>
    <x v="162"/>
    <x v="159"/>
    <x v="162"/>
    <x v="11"/>
    <n v="4.3E-3"/>
  </r>
  <r>
    <x v="163"/>
    <s v="PH"/>
    <x v="163"/>
    <x v="0"/>
    <x v="163"/>
    <x v="163"/>
    <n v="112190.977"/>
    <n v="157891.622"/>
    <n v="129453.321"/>
    <n v="103031.36500000001"/>
    <n v="94636.7"/>
    <n v="77958.222999999998"/>
    <n v="61558.898000000001"/>
    <n v="48419.546000000002"/>
    <x v="163"/>
    <x v="163"/>
    <x v="160"/>
    <x v="163"/>
    <x v="131"/>
    <n v="1.4500000000000001E-2"/>
  </r>
  <r>
    <x v="164"/>
    <s v="PL"/>
    <x v="164"/>
    <x v="1"/>
    <x v="164"/>
    <x v="164"/>
    <n v="38428.366000000002"/>
    <n v="34932.339"/>
    <n v="38700.517999999996"/>
    <n v="38553.146000000001"/>
    <n v="38597.353000000003"/>
    <n v="38504.430999999997"/>
    <n v="38064.254999999997"/>
    <n v="35521.428999999996"/>
    <x v="164"/>
    <x v="164"/>
    <x v="161"/>
    <x v="164"/>
    <x v="132"/>
    <n v="5.0000000000000001E-3"/>
  </r>
  <r>
    <x v="165"/>
    <s v="PT"/>
    <x v="165"/>
    <x v="1"/>
    <x v="165"/>
    <x v="165"/>
    <n v="10298.191999999999"/>
    <n v="9261.3050000000003"/>
    <n v="10062.183000000001"/>
    <n v="10365.434999999999"/>
    <n v="10588.401"/>
    <n v="10300.626"/>
    <n v="10007.346"/>
    <n v="9785.2520000000004"/>
    <x v="165"/>
    <x v="165"/>
    <x v="162"/>
    <x v="165"/>
    <x v="133"/>
    <n v="1.2999999999999999E-3"/>
  </r>
  <r>
    <x v="166"/>
    <s v="PR"/>
    <x v="166"/>
    <x v="4"/>
    <x v="166"/>
    <x v="166"/>
    <n v="3271.5639999999999"/>
    <n v="2727.6239999999998"/>
    <n v="3259.7220000000002"/>
    <n v="3497.335"/>
    <n v="3717.922"/>
    <n v="3827.1080000000002"/>
    <n v="3543.7759999999998"/>
    <n v="3214.5680000000002"/>
    <x v="166"/>
    <x v="166"/>
    <x v="163"/>
    <x v="166"/>
    <x v="134"/>
    <n v="4.0000000000000002E-4"/>
  </r>
  <r>
    <x v="167"/>
    <s v="QA"/>
    <x v="167"/>
    <x v="0"/>
    <x v="167"/>
    <x v="167"/>
    <n v="2760.3850000000002"/>
    <n v="3358.4540000000002"/>
    <n v="2855.2910000000002"/>
    <n v="2414.5729999999999"/>
    <n v="1713.5039999999999"/>
    <n v="645.93700000000001"/>
    <n v="441.67500000000001"/>
    <n v="277.45"/>
    <x v="167"/>
    <x v="167"/>
    <x v="164"/>
    <x v="167"/>
    <x v="135"/>
    <n v="2.9999999999999997E-4"/>
  </r>
  <r>
    <x v="168"/>
    <s v="CG"/>
    <x v="168"/>
    <x v="2"/>
    <x v="168"/>
    <x v="168"/>
    <n v="5702.174"/>
    <n v="10378.912"/>
    <n v="7114.9870000000001"/>
    <n v="5064.3860000000004"/>
    <n v="4437.884"/>
    <n v="3134.03"/>
    <n v="2385.4349999999999"/>
    <n v="1829.2560000000001"/>
    <x v="168"/>
    <x v="168"/>
    <x v="165"/>
    <x v="168"/>
    <x v="136"/>
    <n v="6.9999999999999999E-4"/>
  </r>
  <r>
    <x v="169"/>
    <s v="RE"/>
    <x v="169"/>
    <x v="2"/>
    <x v="169"/>
    <x v="169"/>
    <n v="957.822"/>
    <n v="1127.252"/>
    <n v="1031.8219999999999"/>
    <n v="922.495"/>
    <n v="890.13"/>
    <n v="785.42399999999998"/>
    <n v="658.99199999999996"/>
    <n v="551.67399999999998"/>
    <x v="169"/>
    <x v="169"/>
    <x v="166"/>
    <x v="169"/>
    <x v="137"/>
    <n v="1E-4"/>
  </r>
  <r>
    <x v="170"/>
    <s v="RO"/>
    <x v="170"/>
    <x v="1"/>
    <x v="170"/>
    <x v="170"/>
    <n v="19442.038"/>
    <n v="17457.213"/>
    <n v="19023.383000000002"/>
    <n v="19906.079000000002"/>
    <n v="20335.210999999999"/>
    <n v="21919.876"/>
    <n v="22836.234"/>
    <n v="22125.223999999998"/>
    <x v="170"/>
    <x v="170"/>
    <x v="167"/>
    <x v="170"/>
    <x v="117"/>
    <n v="2.5000000000000001E-3"/>
  </r>
  <r>
    <x v="171"/>
    <s v="RU"/>
    <x v="171"/>
    <x v="1"/>
    <x v="171"/>
    <x v="171"/>
    <n v="145617.329"/>
    <n v="133133.035"/>
    <n v="141432.74100000001"/>
    <n v="144668.389"/>
    <n v="143242.59899999999"/>
    <n v="146844.83900000001"/>
    <n v="148005.704"/>
    <n v="138257.42000000001"/>
    <x v="171"/>
    <x v="171"/>
    <x v="168"/>
    <x v="171"/>
    <x v="138"/>
    <n v="1.8100000000000002E-2"/>
  </r>
  <r>
    <x v="172"/>
    <s v="RW"/>
    <x v="172"/>
    <x v="2"/>
    <x v="172"/>
    <x v="172"/>
    <n v="13146.361999999999"/>
    <n v="23030.045999999998"/>
    <n v="16375.704"/>
    <n v="11642.959000000001"/>
    <n v="10309.031000000001"/>
    <n v="8109.9889999999996"/>
    <n v="7319.9620000000004"/>
    <n v="5247.5320000000002"/>
    <x v="172"/>
    <x v="172"/>
    <x v="169"/>
    <x v="172"/>
    <x v="139"/>
    <n v="1.6999999999999999E-3"/>
  </r>
  <r>
    <x v="173"/>
    <s v="BL"/>
    <x v="173"/>
    <x v="4"/>
    <x v="173"/>
    <x v="173"/>
    <n v="10.680999999999999"/>
    <n v="10.210000000000001"/>
    <n v="11.113"/>
    <n v="9.6430000000000007"/>
    <n v="8.9879999999999995"/>
    <n v="7.0819999999999999"/>
    <n v="5.1680000000000001"/>
    <n v="2.9830000000000001"/>
    <x v="173"/>
    <x v="142"/>
    <x v="170"/>
    <x v="173"/>
    <x v="140"/>
    <n v="0"/>
  </r>
  <r>
    <x v="174"/>
    <s v="KN"/>
    <x v="174"/>
    <x v="4"/>
    <x v="174"/>
    <x v="174"/>
    <n v="47.642000000000003"/>
    <n v="46.881999999999998"/>
    <n v="48.247"/>
    <n v="47.79"/>
    <n v="47.402999999999999"/>
    <n v="45.460999999999999"/>
    <n v="40.636000000000003"/>
    <n v="43.097000000000001"/>
    <x v="174"/>
    <x v="173"/>
    <x v="171"/>
    <x v="174"/>
    <x v="141"/>
    <n v="0"/>
  </r>
  <r>
    <x v="175"/>
    <s v="LC"/>
    <x v="175"/>
    <x v="4"/>
    <x v="175"/>
    <x v="175"/>
    <n v="179.23699999999999"/>
    <n v="177.85599999999999"/>
    <n v="183.274"/>
    <n v="175.62299999999999"/>
    <n v="170.935"/>
    <n v="159.5"/>
    <n v="142.30099999999999"/>
    <n v="121.633"/>
    <x v="175"/>
    <x v="174"/>
    <x v="172"/>
    <x v="175"/>
    <x v="141"/>
    <n v="0"/>
  </r>
  <r>
    <x v="176"/>
    <s v="MF"/>
    <x v="176"/>
    <x v="4"/>
    <x v="176"/>
    <x v="176"/>
    <n v="32.552999999999997"/>
    <n v="35.453000000000003"/>
    <n v="33.508000000000003"/>
    <n v="35.020000000000003"/>
    <n v="36.457999999999998"/>
    <n v="29.61"/>
    <n v="28.126999999999999"/>
    <n v="7.7759999999999998"/>
    <x v="176"/>
    <x v="175"/>
    <x v="173"/>
    <x v="176"/>
    <x v="142"/>
    <n v="0"/>
  </r>
  <r>
    <x v="177"/>
    <s v="PM"/>
    <x v="177"/>
    <x v="4"/>
    <x v="177"/>
    <x v="177"/>
    <n v="5.9059999999999997"/>
    <n v="5.165"/>
    <n v="5.6509999999999998"/>
    <n v="5.9779999999999998"/>
    <n v="6.0519999999999996"/>
    <n v="6.274"/>
    <n v="6.3239999999999998"/>
    <n v="6.1059999999999999"/>
    <x v="177"/>
    <x v="176"/>
    <x v="174"/>
    <x v="177"/>
    <x v="64"/>
    <n v="0"/>
  </r>
  <r>
    <x v="178"/>
    <s v="VC"/>
    <x v="178"/>
    <x v="4"/>
    <x v="178"/>
    <x v="178"/>
    <n v="104.63200000000001"/>
    <n v="101.691"/>
    <n v="104.322"/>
    <n v="106.482"/>
    <n v="109.30800000000001"/>
    <n v="113.813"/>
    <n v="112.48699999999999"/>
    <n v="107.48"/>
    <x v="178"/>
    <x v="177"/>
    <x v="175"/>
    <x v="178"/>
    <x v="143"/>
    <n v="0"/>
  </r>
  <r>
    <x v="179"/>
    <s v="WS"/>
    <x v="179"/>
    <x v="3"/>
    <x v="179"/>
    <x v="179"/>
    <n v="214.929"/>
    <n v="320.01600000000002"/>
    <n v="248.62700000000001"/>
    <n v="203.571"/>
    <n v="194.672"/>
    <n v="184.00800000000001"/>
    <n v="168.18600000000001"/>
    <n v="164.905"/>
    <x v="179"/>
    <x v="178"/>
    <x v="176"/>
    <x v="179"/>
    <x v="144"/>
    <n v="0"/>
  </r>
  <r>
    <x v="180"/>
    <s v="SM"/>
    <x v="180"/>
    <x v="1"/>
    <x v="180"/>
    <x v="180"/>
    <n v="34.006999999999998"/>
    <n v="32.043999999999997"/>
    <n v="33.457999999999998"/>
    <n v="33.57"/>
    <n v="31.608000000000001"/>
    <n v="26.823"/>
    <n v="23.132000000000001"/>
    <n v="21.346"/>
    <x v="180"/>
    <x v="179"/>
    <x v="177"/>
    <x v="180"/>
    <x v="145"/>
    <n v="0"/>
  </r>
  <r>
    <x v="181"/>
    <s v="ST"/>
    <x v="181"/>
    <x v="2"/>
    <x v="181"/>
    <x v="181"/>
    <n v="218.64099999999999"/>
    <n v="366.66300000000001"/>
    <n v="265.036"/>
    <n v="201.124"/>
    <n v="182.13800000000001"/>
    <n v="143.714"/>
    <n v="120.343"/>
    <n v="97.21"/>
    <x v="181"/>
    <x v="180"/>
    <x v="178"/>
    <x v="181"/>
    <x v="146"/>
    <n v="0"/>
  </r>
  <r>
    <x v="182"/>
    <s v="SA"/>
    <x v="182"/>
    <x v="0"/>
    <x v="182"/>
    <x v="182"/>
    <n v="35997.107000000004"/>
    <n v="48374.542999999998"/>
    <n v="40461.368000000002"/>
    <n v="32749.848000000002"/>
    <n v="29411.929"/>
    <n v="21547.39"/>
    <n v="16004.763000000001"/>
    <n v="10171.709999999999"/>
    <x v="182"/>
    <x v="181"/>
    <x v="179"/>
    <x v="182"/>
    <x v="147"/>
    <n v="4.5999999999999999E-3"/>
  </r>
  <r>
    <x v="183"/>
    <s v="SN"/>
    <x v="183"/>
    <x v="2"/>
    <x v="183"/>
    <x v="183"/>
    <n v="16436.12"/>
    <n v="32562.868999999999"/>
    <n v="21125.871999999999"/>
    <n v="14356.181"/>
    <n v="12530.120999999999"/>
    <n v="9704.2870000000003"/>
    <n v="7536.0010000000002"/>
    <n v="5703.8689999999997"/>
    <x v="183"/>
    <x v="182"/>
    <x v="180"/>
    <x v="183"/>
    <x v="148"/>
    <n v="2.2000000000000001E-3"/>
  </r>
  <r>
    <x v="184"/>
    <s v="RS"/>
    <x v="184"/>
    <x v="1"/>
    <x v="184"/>
    <x v="184"/>
    <n v="7358.0050000000001"/>
    <n v="5777.8059999999996"/>
    <n v="6832.6040000000003"/>
    <n v="7519.4960000000001"/>
    <n v="7653.7479999999996"/>
    <n v="7935.0219999999999"/>
    <n v="7987.5290000000005"/>
    <n v="7777.01"/>
    <x v="184"/>
    <x v="183"/>
    <x v="181"/>
    <x v="184"/>
    <x v="149"/>
    <n v="8.9999999999999998E-4"/>
  </r>
  <r>
    <x v="185"/>
    <s v="SC"/>
    <x v="185"/>
    <x v="2"/>
    <x v="185"/>
    <x v="185"/>
    <n v="105.53"/>
    <n v="116.64400000000001"/>
    <n v="111.31699999999999"/>
    <n v="99.24"/>
    <n v="92.409000000000006"/>
    <n v="80.06"/>
    <n v="71.057000000000002"/>
    <n v="65.290000000000006"/>
    <x v="185"/>
    <x v="184"/>
    <x v="151"/>
    <x v="185"/>
    <x v="15"/>
    <n v="0"/>
  </r>
  <r>
    <x v="186"/>
    <s v="SL"/>
    <x v="186"/>
    <x v="2"/>
    <x v="186"/>
    <x v="186"/>
    <n v="8233.9699999999993"/>
    <n v="13595.022999999999"/>
    <n v="10105.188"/>
    <n v="7314.7730000000001"/>
    <n v="6436.6980000000003"/>
    <n v="4584.067"/>
    <n v="4325.3879999999999"/>
    <n v="3367.4769999999999"/>
    <x v="186"/>
    <x v="185"/>
    <x v="182"/>
    <x v="186"/>
    <x v="150"/>
    <n v="1.1000000000000001E-3"/>
  </r>
  <r>
    <x v="187"/>
    <s v="SG"/>
    <x v="187"/>
    <x v="0"/>
    <x v="187"/>
    <x v="187"/>
    <n v="5909.8689999999997"/>
    <n v="6337.2349999999997"/>
    <n v="6251.9880000000003"/>
    <n v="5650.018"/>
    <n v="5163.59"/>
    <n v="4053.6019999999999"/>
    <n v="3022.2089999999998"/>
    <n v="2400.7289999999998"/>
    <x v="187"/>
    <x v="186"/>
    <x v="183"/>
    <x v="187"/>
    <x v="7"/>
    <n v="6.9999999999999999E-4"/>
  </r>
  <r>
    <x v="188"/>
    <s v="SX"/>
    <x v="188"/>
    <x v="4"/>
    <x v="188"/>
    <x v="188"/>
    <n v="43.621000000000002"/>
    <n v="38.947000000000003"/>
    <n v="44.945999999999998"/>
    <n v="40.204999999999998"/>
    <n v="33.033999999999999"/>
    <n v="30.489000000000001"/>
    <n v="27.844999999999999"/>
    <n v="12.243"/>
    <x v="188"/>
    <x v="187"/>
    <x v="184"/>
    <x v="188"/>
    <x v="81"/>
    <n v="0"/>
  </r>
  <r>
    <x v="189"/>
    <s v="SK"/>
    <x v="189"/>
    <x v="1"/>
    <x v="189"/>
    <x v="189"/>
    <n v="5456.6809999999996"/>
    <n v="5186.9669999999996"/>
    <n v="5555.1139999999996"/>
    <n v="5424.4440000000004"/>
    <n v="5396.424"/>
    <n v="5376.69"/>
    <n v="5261.3050000000003"/>
    <n v="4973.8829999999998"/>
    <x v="189"/>
    <x v="188"/>
    <x v="185"/>
    <x v="189"/>
    <x v="151"/>
    <n v="6.9999999999999999E-4"/>
  </r>
  <r>
    <x v="190"/>
    <s v="SI"/>
    <x v="190"/>
    <x v="1"/>
    <x v="190"/>
    <x v="190"/>
    <n v="2117.6410000000001"/>
    <n v="2003.258"/>
    <n v="2105.9450000000002"/>
    <n v="2080.8620000000001"/>
    <n v="2057.2869999999998"/>
    <n v="1984.3389999999999"/>
    <n v="1986.0239999999999"/>
    <n v="1901.57"/>
    <x v="190"/>
    <x v="189"/>
    <x v="186"/>
    <x v="190"/>
    <x v="152"/>
    <n v="2.9999999999999997E-4"/>
  </r>
  <r>
    <x v="191"/>
    <s v="SB"/>
    <x v="191"/>
    <x v="3"/>
    <x v="191"/>
    <x v="191"/>
    <n v="691.19100000000003"/>
    <n v="1225.4069999999999"/>
    <n v="856.26400000000001"/>
    <n v="612.66"/>
    <n v="540.39400000000001"/>
    <n v="429.97800000000001"/>
    <n v="324.17099999999999"/>
    <n v="233.66800000000001"/>
    <x v="191"/>
    <x v="190"/>
    <x v="187"/>
    <x v="191"/>
    <x v="153"/>
    <n v="1E-4"/>
  </r>
  <r>
    <x v="192"/>
    <s v="SO"/>
    <x v="192"/>
    <x v="2"/>
    <x v="192"/>
    <x v="192"/>
    <n v="16537.016"/>
    <n v="36462.83"/>
    <n v="22316.857"/>
    <n v="13763.906000000001"/>
    <n v="12026.648999999999"/>
    <n v="8721.4650000000001"/>
    <n v="6999.0959999999995"/>
    <n v="5892.2240000000002"/>
    <x v="192"/>
    <x v="191"/>
    <x v="188"/>
    <x v="192"/>
    <x v="154"/>
    <n v="2.2000000000000001E-3"/>
  </r>
  <r>
    <x v="193"/>
    <s v="ZA"/>
    <x v="193"/>
    <x v="2"/>
    <x v="193"/>
    <x v="193"/>
    <n v="58801.927000000003"/>
    <n v="73529.752999999997"/>
    <n v="64659.277999999998"/>
    <n v="55876.504000000001"/>
    <n v="51784.921000000002"/>
    <n v="46813.266000000003"/>
    <n v="39877.57"/>
    <n v="29463.548999999999"/>
    <x v="193"/>
    <x v="192"/>
    <x v="189"/>
    <x v="193"/>
    <x v="36"/>
    <n v="7.4999999999999997E-3"/>
  </r>
  <r>
    <x v="194"/>
    <s v="KR"/>
    <x v="194"/>
    <x v="0"/>
    <x v="194"/>
    <x v="194"/>
    <n v="51844.69"/>
    <n v="45770.874000000003"/>
    <n v="51290.214"/>
    <n v="50994.400999999998"/>
    <n v="48813.042000000001"/>
    <n v="46788.591"/>
    <n v="44120.038999999997"/>
    <n v="38170.500999999997"/>
    <x v="194"/>
    <x v="193"/>
    <x v="190"/>
    <x v="194"/>
    <x v="155"/>
    <n v="6.4999999999999997E-3"/>
  </r>
  <r>
    <x v="195"/>
    <s v="SS"/>
    <x v="195"/>
    <x v="2"/>
    <x v="195"/>
    <x v="195"/>
    <n v="10606.227000000001"/>
    <n v="17460.846000000001"/>
    <n v="12570.402"/>
    <n v="11194.299000000001"/>
    <n v="9714.4189999999999"/>
    <n v="6114.44"/>
    <n v="4750.817"/>
    <n v="4192.0119999999997"/>
    <x v="195"/>
    <x v="194"/>
    <x v="191"/>
    <x v="195"/>
    <x v="156"/>
    <n v="1.4E-3"/>
  </r>
  <r>
    <x v="196"/>
    <s v="ES"/>
    <x v="196"/>
    <x v="1"/>
    <x v="196"/>
    <x v="196"/>
    <n v="47363.807000000001"/>
    <n v="44219.565000000002"/>
    <n v="47076.572999999997"/>
    <n v="46431.341999999997"/>
    <n v="46572.771999999997"/>
    <n v="40741.650999999998"/>
    <n v="38889.889000000003"/>
    <n v="37491.665999999997"/>
    <x v="196"/>
    <x v="195"/>
    <x v="192"/>
    <x v="196"/>
    <x v="17"/>
    <n v="6.0000000000000001E-3"/>
  </r>
  <r>
    <x v="197"/>
    <s v="LK"/>
    <x v="197"/>
    <x v="0"/>
    <x v="197"/>
    <x v="197"/>
    <n v="21715.079000000002"/>
    <n v="21814.985000000001"/>
    <n v="22186.97"/>
    <n v="21336.697"/>
    <n v="20668.557000000001"/>
    <n v="18776.370999999999"/>
    <n v="17204.094000000001"/>
    <n v="14943.645"/>
    <x v="197"/>
    <x v="196"/>
    <x v="193"/>
    <x v="197"/>
    <x v="157"/>
    <n v="2.7000000000000001E-3"/>
  </r>
  <r>
    <x v="198"/>
    <s v="SD"/>
    <x v="198"/>
    <x v="2"/>
    <x v="198"/>
    <x v="198"/>
    <n v="44440.485999999997"/>
    <n v="84494.269"/>
    <n v="56997.099000000002"/>
    <n v="38171.178"/>
    <n v="33739.932999999997"/>
    <n v="26298.773000000001"/>
    <n v="21090.885999999999"/>
    <n v="16673.585999999999"/>
    <x v="198"/>
    <x v="197"/>
    <x v="194"/>
    <x v="198"/>
    <x v="158"/>
    <n v="5.8999999999999999E-3"/>
  </r>
  <r>
    <x v="199"/>
    <s v="SR"/>
    <x v="199"/>
    <x v="5"/>
    <x v="199"/>
    <x v="199"/>
    <n v="607.06500000000005"/>
    <n v="725.51900000000001"/>
    <n v="659.50800000000004"/>
    <n v="575.47500000000002"/>
    <n v="546.08000000000004"/>
    <n v="478.99799999999999"/>
    <n v="412.75599999999997"/>
    <n v="375.11200000000002"/>
    <x v="199"/>
    <x v="198"/>
    <x v="195"/>
    <x v="199"/>
    <x v="137"/>
    <n v="1E-4"/>
  </r>
  <r>
    <x v="200"/>
    <s v="SE"/>
    <x v="200"/>
    <x v="1"/>
    <x v="200"/>
    <x v="200"/>
    <n v="10368.968999999999"/>
    <n v="11902.032999999999"/>
    <n v="11007.227999999999"/>
    <n v="9849.3490000000002"/>
    <n v="9381.7289999999994"/>
    <n v="8871.0429999999997"/>
    <n v="8548.4060000000009"/>
    <n v="8311.7630000000008"/>
    <x v="200"/>
    <x v="199"/>
    <x v="196"/>
    <x v="200"/>
    <x v="57"/>
    <n v="1.2999999999999999E-3"/>
  </r>
  <r>
    <x v="201"/>
    <s v="CH"/>
    <x v="201"/>
    <x v="1"/>
    <x v="201"/>
    <x v="201"/>
    <n v="8638.6129999999994"/>
    <n v="9753.7530000000006"/>
    <n v="9143.6980000000003"/>
    <n v="8281.732"/>
    <n v="7822.4350000000004"/>
    <n v="7182.0590000000002"/>
    <n v="6711.6930000000002"/>
    <n v="6319.1130000000003"/>
    <x v="201"/>
    <x v="200"/>
    <x v="197"/>
    <x v="201"/>
    <x v="58"/>
    <n v="1.1000000000000001E-3"/>
  </r>
  <r>
    <x v="202"/>
    <s v="SY"/>
    <x v="202"/>
    <x v="0"/>
    <x v="202"/>
    <x v="202"/>
    <n v="20772.595000000001"/>
    <n v="38306.374000000003"/>
    <n v="29824.735000000001"/>
    <n v="19205.178"/>
    <n v="22337.562999999998"/>
    <n v="16307.654"/>
    <n v="12408.995999999999"/>
    <n v="8898.9539999999997"/>
    <x v="202"/>
    <x v="201"/>
    <x v="198"/>
    <x v="202"/>
    <x v="159"/>
    <n v="2.8E-3"/>
  </r>
  <r>
    <x v="203"/>
    <s v="TW"/>
    <x v="203"/>
    <x v="0"/>
    <x v="203"/>
    <x v="203"/>
    <n v="23821.464"/>
    <n v="22445.526000000002"/>
    <n v="24027.999"/>
    <n v="23512.135999999999"/>
    <n v="23083.082999999999"/>
    <n v="22194.731"/>
    <n v="20586.173999999999"/>
    <n v="18100.280999999999"/>
    <x v="203"/>
    <x v="202"/>
    <x v="199"/>
    <x v="203"/>
    <x v="124"/>
    <n v="3.0000000000000001E-3"/>
  </r>
  <r>
    <x v="204"/>
    <s v="TJ"/>
    <x v="204"/>
    <x v="0"/>
    <x v="204"/>
    <x v="204"/>
    <n v="9543.2070000000003"/>
    <n v="15200.989"/>
    <n v="11421.43"/>
    <n v="8524.0630000000001"/>
    <n v="7621.7790000000005"/>
    <n v="6272.9979999999996"/>
    <n v="5417.86"/>
    <n v="4045.9650000000001"/>
    <x v="204"/>
    <x v="203"/>
    <x v="200"/>
    <x v="204"/>
    <x v="160"/>
    <n v="1.1999999999999999E-3"/>
  </r>
  <r>
    <x v="205"/>
    <s v="TZ"/>
    <x v="205"/>
    <x v="2"/>
    <x v="205"/>
    <x v="205"/>
    <n v="61704.517999999996"/>
    <n v="129931.52"/>
    <n v="81885.304000000004"/>
    <n v="52542.822999999997"/>
    <n v="45110.527000000002"/>
    <n v="34463.703999999998"/>
    <n v="26206.011999999999"/>
    <n v="19297.659"/>
    <x v="205"/>
    <x v="204"/>
    <x v="201"/>
    <x v="205"/>
    <x v="161"/>
    <n v="8.2000000000000007E-3"/>
  </r>
  <r>
    <x v="206"/>
    <s v="TH"/>
    <x v="206"/>
    <x v="0"/>
    <x v="206"/>
    <x v="206"/>
    <n v="71475.664000000004"/>
    <n v="67880.082999999999"/>
    <n v="72060.017999999996"/>
    <n v="70294.396999999997"/>
    <n v="68270.489000000001"/>
    <n v="63066.603000000003"/>
    <n v="55228.41"/>
    <n v="45737.752999999997"/>
    <x v="206"/>
    <x v="205"/>
    <x v="202"/>
    <x v="206"/>
    <x v="162"/>
    <n v="8.9999999999999993E-3"/>
  </r>
  <r>
    <x v="207"/>
    <s v="TL"/>
    <x v="207"/>
    <x v="0"/>
    <x v="207"/>
    <x v="207"/>
    <n v="1299.9949999999999"/>
    <n v="1806.8689999999999"/>
    <n v="1495.0809999999999"/>
    <n v="1205.8130000000001"/>
    <n v="1088.4860000000001"/>
    <n v="878.36"/>
    <n v="758.10599999999999"/>
    <n v="642.22400000000005"/>
    <x v="207"/>
    <x v="206"/>
    <x v="203"/>
    <x v="207"/>
    <x v="163"/>
    <n v="2.0000000000000001E-4"/>
  </r>
  <r>
    <x v="208"/>
    <s v="TG"/>
    <x v="208"/>
    <x v="2"/>
    <x v="208"/>
    <x v="208"/>
    <n v="8442.58"/>
    <n v="15478.883"/>
    <n v="10558.178"/>
    <n v="7473.2290000000003"/>
    <n v="6571.8549999999996"/>
    <n v="5008.0349999999999"/>
    <n v="3875.9470000000001"/>
    <n v="2838.11"/>
    <x v="208"/>
    <x v="207"/>
    <x v="204"/>
    <x v="208"/>
    <x v="164"/>
    <n v="1.1000000000000001E-3"/>
  </r>
  <r>
    <x v="209"/>
    <s v="TK"/>
    <x v="209"/>
    <x v="3"/>
    <x v="209"/>
    <x v="209"/>
    <n v="1.827"/>
    <n v="2.4300000000000002"/>
    <n v="2.0459999999999998"/>
    <n v="1.454"/>
    <n v="1.367"/>
    <n v="1.6659999999999999"/>
    <n v="1.669"/>
    <n v="1.647"/>
    <x v="209"/>
    <x v="208"/>
    <x v="205"/>
    <x v="209"/>
    <x v="165"/>
    <n v="0"/>
  </r>
  <r>
    <x v="210"/>
    <s v="TO"/>
    <x v="210"/>
    <x v="3"/>
    <x v="210"/>
    <x v="210"/>
    <n v="105.254"/>
    <n v="131.22499999999999"/>
    <n v="114.124"/>
    <n v="106.122"/>
    <n v="107.383"/>
    <n v="102.60299999999999"/>
    <n v="98.727000000000004"/>
    <n v="96.707999999999998"/>
    <x v="210"/>
    <x v="209"/>
    <x v="206"/>
    <x v="210"/>
    <x v="57"/>
    <n v="0"/>
  </r>
  <r>
    <x v="211"/>
    <s v="TT"/>
    <x v="211"/>
    <x v="4"/>
    <x v="211"/>
    <x v="211"/>
    <n v="1518.1469999999999"/>
    <n v="1485.1389999999999"/>
    <n v="1547.69"/>
    <n v="1460.1769999999999"/>
    <n v="1410.296"/>
    <n v="1332.203"/>
    <n v="1266.518"/>
    <n v="1127.8520000000001"/>
    <x v="211"/>
    <x v="210"/>
    <x v="207"/>
    <x v="211"/>
    <x v="53"/>
    <n v="2.0000000000000001E-4"/>
  </r>
  <r>
    <x v="212"/>
    <s v="TN"/>
    <x v="212"/>
    <x v="2"/>
    <x v="212"/>
    <x v="212"/>
    <n v="12161.723"/>
    <n v="14315.779"/>
    <n v="13100.768"/>
    <n v="11557.779"/>
    <n v="10895.063"/>
    <n v="9893.3160000000007"/>
    <n v="8440.0229999999992"/>
    <n v="6578.1559999999999"/>
    <x v="212"/>
    <x v="211"/>
    <x v="208"/>
    <x v="212"/>
    <x v="166"/>
    <n v="1.5E-3"/>
  </r>
  <r>
    <x v="213"/>
    <s v="TR"/>
    <x v="213"/>
    <x v="0"/>
    <x v="213"/>
    <x v="213"/>
    <n v="84135.428"/>
    <n v="95829.258000000002"/>
    <n v="88879.698000000004"/>
    <n v="79646.178"/>
    <n v="73195.345000000001"/>
    <n v="64113.546999999999"/>
    <n v="54324.142"/>
    <n v="44089.069000000003"/>
    <x v="213"/>
    <x v="212"/>
    <x v="209"/>
    <x v="213"/>
    <x v="167"/>
    <n v="1.0699999999999999E-2"/>
  </r>
  <r>
    <x v="214"/>
    <s v="TM"/>
    <x v="214"/>
    <x v="0"/>
    <x v="214"/>
    <x v="214"/>
    <n v="6250.4380000000001"/>
    <n v="8263.8330000000005"/>
    <n v="7034.7579999999998"/>
    <n v="5766.4309999999996"/>
    <n v="5267.97"/>
    <n v="4569.1319999999996"/>
    <n v="3720.2779999999998"/>
    <n v="2862.9029999999998"/>
    <x v="214"/>
    <x v="213"/>
    <x v="210"/>
    <x v="214"/>
    <x v="168"/>
    <n v="8.0000000000000004E-4"/>
  </r>
  <r>
    <x v="215"/>
    <s v="TC"/>
    <x v="215"/>
    <x v="4"/>
    <x v="215"/>
    <x v="215"/>
    <n v="44.276000000000003"/>
    <n v="52.865000000000002"/>
    <n v="48.537999999999997"/>
    <n v="36.537999999999997"/>
    <n v="29.725999999999999"/>
    <n v="18.744"/>
    <n v="11.709"/>
    <n v="7.5979999999999999"/>
    <x v="215"/>
    <x v="214"/>
    <x v="211"/>
    <x v="215"/>
    <x v="20"/>
    <n v="0"/>
  </r>
  <r>
    <x v="216"/>
    <s v="TV"/>
    <x v="216"/>
    <x v="3"/>
    <x v="216"/>
    <x v="216"/>
    <n v="11.069000000000001"/>
    <n v="13.211"/>
    <n v="11.917"/>
    <n v="10.877000000000001"/>
    <n v="10.55"/>
    <n v="9.6379999999999999"/>
    <n v="9.1820000000000004"/>
    <n v="7.7309999999999999"/>
    <x v="216"/>
    <x v="215"/>
    <x v="212"/>
    <x v="216"/>
    <x v="169"/>
    <n v="0"/>
  </r>
  <r>
    <x v="217"/>
    <s v="UG"/>
    <x v="217"/>
    <x v="2"/>
    <x v="217"/>
    <x v="217"/>
    <n v="44404.610999999997"/>
    <n v="87622.081000000006"/>
    <n v="58380.262000000002"/>
    <n v="37477.356"/>
    <n v="32341.727999999999"/>
    <n v="24020.697"/>
    <n v="17586.63"/>
    <n v="13284.026"/>
    <x v="217"/>
    <x v="216"/>
    <x v="213"/>
    <x v="217"/>
    <x v="170"/>
    <n v="5.8999999999999999E-3"/>
  </r>
  <r>
    <x v="218"/>
    <s v="UA"/>
    <x v="218"/>
    <x v="1"/>
    <x v="218"/>
    <x v="218"/>
    <n v="43909.665999999997"/>
    <n v="32867.718999999997"/>
    <n v="38295.428999999996"/>
    <n v="44982.563999999998"/>
    <n v="45683.02"/>
    <n v="48879.754999999997"/>
    <n v="51589.817000000003"/>
    <n v="49973.919999999998"/>
    <x v="218"/>
    <x v="217"/>
    <x v="214"/>
    <x v="218"/>
    <x v="171"/>
    <n v="5.0000000000000001E-3"/>
  </r>
  <r>
    <x v="219"/>
    <s v="AE"/>
    <x v="219"/>
    <x v="0"/>
    <x v="219"/>
    <x v="219"/>
    <n v="9287.2890000000007"/>
    <n v="11449.471"/>
    <n v="10004.319"/>
    <n v="8916.8989999999994"/>
    <n v="8481.7710000000006"/>
    <n v="3275.3330000000001"/>
    <n v="1900.1510000000001"/>
    <n v="1014.048"/>
    <x v="219"/>
    <x v="218"/>
    <x v="215"/>
    <x v="219"/>
    <x v="29"/>
    <n v="1.1999999999999999E-3"/>
  </r>
  <r>
    <x v="220"/>
    <s v="GB"/>
    <x v="220"/>
    <x v="1"/>
    <x v="220"/>
    <x v="220"/>
    <n v="67059.474000000002"/>
    <n v="71684.966"/>
    <n v="69175.77"/>
    <n v="65224.364000000001"/>
    <n v="62760.038999999997"/>
    <n v="58850.042999999998"/>
    <n v="57210.442000000003"/>
    <n v="56326.328000000001"/>
    <x v="220"/>
    <x v="219"/>
    <x v="216"/>
    <x v="220"/>
    <x v="172"/>
    <n v="8.5000000000000006E-3"/>
  </r>
  <r>
    <x v="221"/>
    <s v="US"/>
    <x v="221"/>
    <x v="4"/>
    <x v="221"/>
    <x v="221"/>
    <n v="335942.00300000003"/>
    <n v="375391.96299999999"/>
    <n v="352162.30099999998"/>
    <n v="324607.77600000001"/>
    <n v="311182.84499999997"/>
    <n v="282398.554"/>
    <n v="248083.73199999999"/>
    <n v="223140.01800000001"/>
    <x v="221"/>
    <x v="220"/>
    <x v="217"/>
    <x v="221"/>
    <x v="19"/>
    <n v="4.24E-2"/>
  </r>
  <r>
    <x v="222"/>
    <s v="VI"/>
    <x v="222"/>
    <x v="4"/>
    <x v="222"/>
    <x v="222"/>
    <n v="100.44199999999999"/>
    <n v="77.519000000000005"/>
    <n v="93.418999999999997"/>
    <n v="102.803"/>
    <n v="106.142"/>
    <n v="108.185"/>
    <n v="100.685"/>
    <n v="96.64"/>
    <x v="222"/>
    <x v="221"/>
    <x v="218"/>
    <x v="222"/>
    <x v="173"/>
    <n v="0"/>
  </r>
  <r>
    <x v="223"/>
    <s v="UY"/>
    <x v="223"/>
    <x v="5"/>
    <x v="223"/>
    <x v="223"/>
    <n v="3429.0859999999998"/>
    <n v="3337.143"/>
    <n v="3423.3719999999998"/>
    <n v="3402.8180000000002"/>
    <n v="3352.6509999999998"/>
    <n v="3292.2240000000002"/>
    <n v="3117.0120000000002"/>
    <n v="2953.75"/>
    <x v="223"/>
    <x v="222"/>
    <x v="219"/>
    <x v="223"/>
    <x v="174"/>
    <n v="4.0000000000000002E-4"/>
  </r>
  <r>
    <x v="224"/>
    <s v="UZ"/>
    <x v="224"/>
    <x v="0"/>
    <x v="224"/>
    <x v="224"/>
    <n v="33526.656000000003"/>
    <n v="45593.148999999998"/>
    <n v="38313.228000000003"/>
    <n v="30949.417000000001"/>
    <n v="28614.226999999999"/>
    <n v="24925.554"/>
    <n v="20579.099999999999"/>
    <n v="15947.129000000001"/>
    <x v="224"/>
    <x v="223"/>
    <x v="220"/>
    <x v="224"/>
    <x v="175"/>
    <n v="4.3E-3"/>
  </r>
  <r>
    <x v="225"/>
    <s v="VU"/>
    <x v="225"/>
    <x v="3"/>
    <x v="225"/>
    <x v="225"/>
    <n v="311.685"/>
    <n v="578.56700000000001"/>
    <n v="391.13499999999999"/>
    <n v="276.43799999999999"/>
    <n v="245.453"/>
    <n v="192.07400000000001"/>
    <n v="150.88200000000001"/>
    <n v="118.15600000000001"/>
    <x v="225"/>
    <x v="224"/>
    <x v="221"/>
    <x v="225"/>
    <x v="176"/>
    <n v="0"/>
  </r>
  <r>
    <x v="226"/>
    <s v="VA"/>
    <x v="226"/>
    <x v="1"/>
    <x v="226"/>
    <x v="226"/>
    <n v="0.52"/>
    <n v="0.73099999999999998"/>
    <n v="0.56100000000000005"/>
    <n v="0.56399999999999995"/>
    <n v="0.59599999999999997"/>
    <n v="0.65100000000000002"/>
    <n v="0.7"/>
    <n v="0.73299999999999998"/>
    <x v="226"/>
    <x v="225"/>
    <x v="222"/>
    <x v="226"/>
    <x v="56"/>
    <n v="0"/>
  </r>
  <r>
    <x v="227"/>
    <s v="VE"/>
    <x v="227"/>
    <x v="5"/>
    <x v="227"/>
    <x v="227"/>
    <n v="28490.453000000001"/>
    <n v="35937.404000000002"/>
    <n v="32027.460999999999"/>
    <n v="30529.716"/>
    <n v="28715.022000000001"/>
    <n v="24427.728999999999"/>
    <n v="19750.579000000002"/>
    <n v="15210.442999999999"/>
    <x v="227"/>
    <x v="226"/>
    <x v="223"/>
    <x v="227"/>
    <x v="118"/>
    <n v="3.5000000000000001E-3"/>
  </r>
  <r>
    <x v="228"/>
    <s v="VN"/>
    <x v="228"/>
    <x v="0"/>
    <x v="228"/>
    <x v="228"/>
    <n v="96648.684999999998"/>
    <n v="107012.939"/>
    <n v="102699.905"/>
    <n v="92191.398000000001"/>
    <n v="87411.012000000002"/>
    <n v="79001.142000000007"/>
    <n v="66912.612999999998"/>
    <n v="52968.27"/>
    <x v="228"/>
    <x v="227"/>
    <x v="224"/>
    <x v="228"/>
    <x v="61"/>
    <n v="1.23E-2"/>
  </r>
  <r>
    <x v="229"/>
    <s v="WF"/>
    <x v="229"/>
    <x v="3"/>
    <x v="229"/>
    <x v="229"/>
    <n v="11.654999999999999"/>
    <n v="11.349"/>
    <n v="11.228999999999999"/>
    <n v="12.182"/>
    <n v="13.141999999999999"/>
    <n v="14.723000000000001"/>
    <n v="13.454000000000001"/>
    <n v="11.315"/>
    <x v="229"/>
    <x v="228"/>
    <x v="225"/>
    <x v="229"/>
    <x v="177"/>
    <n v="0"/>
  </r>
  <r>
    <x v="230"/>
    <s v="EH"/>
    <x v="230"/>
    <x v="2"/>
    <x v="230"/>
    <x v="230"/>
    <n v="556.048"/>
    <n v="851.06700000000001"/>
    <n v="662.726"/>
    <n v="491.82400000000001"/>
    <n v="413.29599999999999"/>
    <n v="270.375"/>
    <n v="178.529"/>
    <n v="116.77500000000001"/>
    <x v="230"/>
    <x v="229"/>
    <x v="226"/>
    <x v="230"/>
    <x v="41"/>
    <n v="1E-4"/>
  </r>
  <r>
    <x v="231"/>
    <s v="YE"/>
    <x v="231"/>
    <x v="0"/>
    <x v="231"/>
    <x v="231"/>
    <n v="32284.045999999998"/>
    <n v="55296.330999999998"/>
    <n v="39923.245000000003"/>
    <n v="28516.544999999998"/>
    <n v="24743.946"/>
    <n v="18628.7"/>
    <n v="13375.120999999999"/>
    <n v="9204.9380000000001"/>
    <x v="231"/>
    <x v="230"/>
    <x v="227"/>
    <x v="231"/>
    <x v="178"/>
    <n v="4.1999999999999997E-3"/>
  </r>
  <r>
    <x v="232"/>
    <s v="ZM"/>
    <x v="232"/>
    <x v="2"/>
    <x v="232"/>
    <x v="232"/>
    <n v="18927.715"/>
    <n v="37460.434999999998"/>
    <n v="24676.417000000001"/>
    <n v="16248.23"/>
    <n v="13792.085999999999"/>
    <n v="9891.1360000000004"/>
    <n v="7686.4009999999998"/>
    <n v="5720.4380000000001"/>
    <x v="232"/>
    <x v="231"/>
    <x v="228"/>
    <x v="232"/>
    <x v="179"/>
    <n v="2.5000000000000001E-3"/>
  </r>
  <r>
    <x v="233"/>
    <s v="ZW"/>
    <x v="233"/>
    <x v="2"/>
    <x v="233"/>
    <x v="233"/>
    <n v="15669.665999999999"/>
    <n v="26438.589"/>
    <n v="19179.393"/>
    <n v="14154.937"/>
    <n v="12839.771000000001"/>
    <n v="11834.675999999999"/>
    <n v="10113.893"/>
    <n v="7049.9260000000004"/>
    <x v="233"/>
    <x v="232"/>
    <x v="229"/>
    <x v="233"/>
    <x v="62"/>
    <n v="2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outline="1" outlineData="1" compactData="0" multipleFieldFilters="0" chartFormat="2">
  <location ref="W18:AC253" firstHeaderRow="0" firstDataRow="1" firstDataCol="1"/>
  <pivotFields count="20">
    <pivotField compact="0" subtotalTop="0" showAll="0">
      <items count="235">
        <item x="41"/>
        <item x="92"/>
        <item x="221"/>
        <item x="93"/>
        <item x="156"/>
        <item x="149"/>
        <item x="27"/>
        <item x="16"/>
        <item x="171"/>
        <item x="131"/>
        <item x="102"/>
        <item x="63"/>
        <item x="163"/>
        <item x="57"/>
        <item x="55"/>
        <item x="228"/>
        <item x="94"/>
        <item x="213"/>
        <item x="74"/>
        <item x="206"/>
        <item x="220"/>
        <item x="205"/>
        <item x="68"/>
        <item x="193"/>
        <item x="99"/>
        <item x="140"/>
        <item x="106"/>
        <item x="42"/>
        <item x="194"/>
        <item x="196"/>
        <item x="217"/>
        <item x="198"/>
        <item x="8"/>
        <item x="2"/>
        <item x="95"/>
        <item x="0"/>
        <item x="164"/>
        <item x="218"/>
        <item x="35"/>
        <item x="138"/>
        <item x="182"/>
        <item x="5"/>
        <item x="224"/>
        <item x="162"/>
        <item x="122"/>
        <item x="231"/>
        <item x="75"/>
        <item x="139"/>
        <item x="143"/>
        <item x="120"/>
        <item x="227"/>
        <item x="100"/>
        <item x="34"/>
        <item x="148"/>
        <item x="11"/>
        <item x="151"/>
        <item x="203"/>
        <item x="31"/>
        <item x="124"/>
        <item x="202"/>
        <item x="197"/>
        <item x="121"/>
        <item x="232"/>
        <item x="170"/>
        <item x="40"/>
        <item x="105"/>
        <item x="56"/>
        <item x="82"/>
        <item x="39"/>
        <item x="192"/>
        <item x="144"/>
        <item x="183"/>
        <item x="33"/>
        <item x="233"/>
        <item x="84"/>
        <item x="172"/>
        <item x="21"/>
        <item x="32"/>
        <item x="212"/>
        <item x="24"/>
        <item x="19"/>
        <item x="87"/>
        <item x="104"/>
        <item x="54"/>
        <item x="47"/>
        <item x="195"/>
        <item x="200"/>
        <item x="50"/>
        <item x="88"/>
        <item x="77"/>
        <item x="13"/>
        <item x="165"/>
        <item x="160"/>
        <item x="90"/>
        <item x="204"/>
        <item x="18"/>
        <item x="219"/>
        <item x="98"/>
        <item x="12"/>
        <item x="208"/>
        <item x="201"/>
        <item x="186"/>
        <item x="110"/>
        <item x="89"/>
        <item x="184"/>
        <item x="147"/>
        <item x="115"/>
        <item x="30"/>
        <item x="161"/>
        <item x="109"/>
        <item x="214"/>
        <item x="58"/>
        <item x="187"/>
        <item x="168"/>
        <item x="51"/>
        <item x="189"/>
        <item x="38"/>
        <item x="67"/>
        <item x="112"/>
        <item x="154"/>
        <item x="114"/>
        <item x="158"/>
        <item x="146"/>
        <item x="45"/>
        <item x="96"/>
        <item x="128"/>
        <item x="155"/>
        <item x="159"/>
        <item x="108"/>
        <item x="46"/>
        <item x="73"/>
        <item x="60"/>
        <item x="223"/>
        <item x="135"/>
        <item x="133"/>
        <item x="166"/>
        <item x="25"/>
        <item x="1"/>
        <item x="101"/>
        <item x="9"/>
        <item x="117"/>
        <item x="72"/>
        <item x="167"/>
        <item x="26"/>
        <item x="141"/>
        <item x="71"/>
        <item x="113"/>
        <item x="190"/>
        <item x="85"/>
        <item x="152"/>
        <item x="111"/>
        <item x="59"/>
        <item x="211"/>
        <item x="15"/>
        <item x="207"/>
        <item x="61"/>
        <item x="129"/>
        <item x="49"/>
        <item x="62"/>
        <item x="52"/>
        <item x="169"/>
        <item x="66"/>
        <item x="43"/>
        <item x="86"/>
        <item x="23"/>
        <item x="191"/>
        <item x="119"/>
        <item x="118"/>
        <item x="136"/>
        <item x="199"/>
        <item x="36"/>
        <item x="230"/>
        <item x="125"/>
        <item x="123"/>
        <item x="29"/>
        <item x="14"/>
        <item x="20"/>
        <item x="80"/>
        <item x="91"/>
        <item x="127"/>
        <item x="225"/>
        <item x="130"/>
        <item x="70"/>
        <item x="69"/>
        <item x="145"/>
        <item x="17"/>
        <item x="181"/>
        <item x="179"/>
        <item x="48"/>
        <item x="175"/>
        <item x="81"/>
        <item x="107"/>
        <item x="79"/>
        <item x="132"/>
        <item x="103"/>
        <item x="185"/>
        <item x="210"/>
        <item x="10"/>
        <item x="178"/>
        <item x="222"/>
        <item x="7"/>
        <item x="97"/>
        <item x="4"/>
        <item x="53"/>
        <item x="37"/>
        <item x="22"/>
        <item x="83"/>
        <item x="78"/>
        <item x="65"/>
        <item x="153"/>
        <item x="174"/>
        <item x="215"/>
        <item x="3"/>
        <item x="188"/>
        <item x="126"/>
        <item x="116"/>
        <item x="134"/>
        <item x="180"/>
        <item x="76"/>
        <item x="176"/>
        <item x="28"/>
        <item x="157"/>
        <item x="44"/>
        <item x="6"/>
        <item x="142"/>
        <item x="229"/>
        <item x="216"/>
        <item x="173"/>
        <item x="177"/>
        <item x="137"/>
        <item x="64"/>
        <item x="150"/>
        <item x="209"/>
        <item x="226"/>
        <item t="default"/>
      </items>
    </pivotField>
    <pivotField compact="0" subtotalTop="0" showAll="0"/>
    <pivotField axis="axisRow" compact="0" subtotalTop="0" showAll="0">
      <items count="2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t="default"/>
      </items>
    </pivotField>
    <pivotField compact="0" subtotalTop="0" showAll="0">
      <items count="7">
        <item x="2"/>
        <item x="0"/>
        <item x="1"/>
        <item x="4"/>
        <item x="3"/>
        <item x="5"/>
        <item t="default"/>
      </items>
    </pivotField>
    <pivotField dataField="1" compact="0" subtotalTop="0" showAll="0">
      <items count="235">
        <item x="226"/>
        <item x="209"/>
        <item x="150"/>
        <item x="64"/>
        <item x="137"/>
        <item x="177"/>
        <item x="173"/>
        <item x="216"/>
        <item x="229"/>
        <item x="142"/>
        <item x="6"/>
        <item x="44"/>
        <item x="157"/>
        <item x="28"/>
        <item x="176"/>
        <item x="76"/>
        <item x="180"/>
        <item x="134"/>
        <item x="116"/>
        <item x="126"/>
        <item x="188"/>
        <item x="3"/>
        <item x="215"/>
        <item x="174"/>
        <item x="153"/>
        <item x="65"/>
        <item x="78"/>
        <item x="83"/>
        <item x="22"/>
        <item x="37"/>
        <item x="53"/>
        <item x="4"/>
        <item x="97"/>
        <item x="7"/>
        <item x="222"/>
        <item x="178"/>
        <item x="10"/>
        <item x="210"/>
        <item x="185"/>
        <item x="103"/>
        <item x="132"/>
        <item x="79"/>
        <item x="107"/>
        <item x="81"/>
        <item x="175"/>
        <item x="48"/>
        <item x="179"/>
        <item x="181"/>
        <item x="17"/>
        <item x="145"/>
        <item x="69"/>
        <item x="70"/>
        <item x="130"/>
        <item x="225"/>
        <item x="127"/>
        <item x="91"/>
        <item x="80"/>
        <item x="20"/>
        <item x="14"/>
        <item x="29"/>
        <item x="123"/>
        <item x="125"/>
        <item x="230"/>
        <item x="36"/>
        <item x="199"/>
        <item x="136"/>
        <item x="118"/>
        <item x="119"/>
        <item x="191"/>
        <item x="23"/>
        <item x="86"/>
        <item x="43"/>
        <item x="66"/>
        <item x="169"/>
        <item x="52"/>
        <item x="62"/>
        <item x="49"/>
        <item x="129"/>
        <item x="61"/>
        <item x="207"/>
        <item x="15"/>
        <item x="211"/>
        <item x="59"/>
        <item x="111"/>
        <item x="152"/>
        <item x="85"/>
        <item x="190"/>
        <item x="113"/>
        <item x="71"/>
        <item x="141"/>
        <item x="26"/>
        <item x="167"/>
        <item x="72"/>
        <item x="117"/>
        <item x="9"/>
        <item x="101"/>
        <item x="1"/>
        <item x="25"/>
        <item x="166"/>
        <item x="133"/>
        <item x="135"/>
        <item x="223"/>
        <item x="60"/>
        <item x="73"/>
        <item x="46"/>
        <item x="108"/>
        <item x="159"/>
        <item x="155"/>
        <item x="128"/>
        <item x="96"/>
        <item x="45"/>
        <item x="146"/>
        <item x="158"/>
        <item x="114"/>
        <item x="154"/>
        <item x="112"/>
        <item x="67"/>
        <item x="38"/>
        <item x="189"/>
        <item x="51"/>
        <item x="168"/>
        <item x="187"/>
        <item x="58"/>
        <item x="214"/>
        <item x="109"/>
        <item x="161"/>
        <item x="30"/>
        <item x="115"/>
        <item x="147"/>
        <item x="184"/>
        <item x="89"/>
        <item x="110"/>
        <item x="186"/>
        <item x="201"/>
        <item x="208"/>
        <item x="12"/>
        <item x="98"/>
        <item x="219"/>
        <item x="18"/>
        <item x="204"/>
        <item x="90"/>
        <item x="160"/>
        <item x="165"/>
        <item x="13"/>
        <item x="77"/>
        <item x="88"/>
        <item x="50"/>
        <item x="200"/>
        <item x="195"/>
        <item x="47"/>
        <item x="54"/>
        <item x="104"/>
        <item x="87"/>
        <item x="19"/>
        <item x="24"/>
        <item x="212"/>
        <item x="32"/>
        <item x="21"/>
        <item x="172"/>
        <item x="84"/>
        <item x="233"/>
        <item x="33"/>
        <item x="183"/>
        <item x="144"/>
        <item x="192"/>
        <item x="39"/>
        <item x="82"/>
        <item x="56"/>
        <item x="105"/>
        <item x="40"/>
        <item x="170"/>
        <item x="232"/>
        <item x="121"/>
        <item x="197"/>
        <item x="202"/>
        <item x="124"/>
        <item x="31"/>
        <item x="203"/>
        <item x="151"/>
        <item x="11"/>
        <item x="148"/>
        <item x="34"/>
        <item x="100"/>
        <item x="227"/>
        <item x="120"/>
        <item x="143"/>
        <item x="139"/>
        <item x="75"/>
        <item x="231"/>
        <item x="122"/>
        <item x="162"/>
        <item x="224"/>
        <item x="5"/>
        <item x="182"/>
        <item x="138"/>
        <item x="35"/>
        <item x="218"/>
        <item x="164"/>
        <item x="0"/>
        <item x="95"/>
        <item x="2"/>
        <item x="8"/>
        <item x="198"/>
        <item x="217"/>
        <item x="196"/>
        <item x="194"/>
        <item x="42"/>
        <item x="106"/>
        <item x="140"/>
        <item x="99"/>
        <item x="193"/>
        <item x="68"/>
        <item x="205"/>
        <item x="220"/>
        <item x="206"/>
        <item x="74"/>
        <item x="213"/>
        <item x="94"/>
        <item x="228"/>
        <item x="55"/>
        <item x="57"/>
        <item x="163"/>
        <item x="63"/>
        <item x="102"/>
        <item x="131"/>
        <item x="171"/>
        <item x="16"/>
        <item x="27"/>
        <item x="149"/>
        <item x="156"/>
        <item x="93"/>
        <item x="221"/>
        <item x="92"/>
        <item x="41"/>
        <item t="default"/>
      </items>
    </pivotField>
    <pivotField dataField="1" compact="0" subtotalTop="0" showAll="0">
      <items count="235">
        <item x="226"/>
        <item x="209"/>
        <item x="150"/>
        <item x="64"/>
        <item x="137"/>
        <item x="177"/>
        <item x="173"/>
        <item x="216"/>
        <item x="229"/>
        <item x="142"/>
        <item x="6"/>
        <item x="44"/>
        <item x="157"/>
        <item x="28"/>
        <item x="176"/>
        <item x="76"/>
        <item x="180"/>
        <item x="134"/>
        <item x="116"/>
        <item x="126"/>
        <item x="188"/>
        <item x="3"/>
        <item x="215"/>
        <item x="174"/>
        <item x="153"/>
        <item x="65"/>
        <item x="78"/>
        <item x="83"/>
        <item x="22"/>
        <item x="37"/>
        <item x="53"/>
        <item x="4"/>
        <item x="97"/>
        <item x="7"/>
        <item x="222"/>
        <item x="178"/>
        <item x="210"/>
        <item x="185"/>
        <item x="10"/>
        <item x="103"/>
        <item x="132"/>
        <item x="79"/>
        <item x="107"/>
        <item x="81"/>
        <item x="175"/>
        <item x="48"/>
        <item x="179"/>
        <item x="181"/>
        <item x="17"/>
        <item x="145"/>
        <item x="69"/>
        <item x="70"/>
        <item x="130"/>
        <item x="225"/>
        <item x="127"/>
        <item x="91"/>
        <item x="80"/>
        <item x="20"/>
        <item x="14"/>
        <item x="29"/>
        <item x="123"/>
        <item x="125"/>
        <item x="230"/>
        <item x="36"/>
        <item x="199"/>
        <item x="136"/>
        <item x="118"/>
        <item x="119"/>
        <item x="191"/>
        <item x="23"/>
        <item x="86"/>
        <item x="43"/>
        <item x="66"/>
        <item x="169"/>
        <item x="52"/>
        <item x="62"/>
        <item x="49"/>
        <item x="129"/>
        <item x="207"/>
        <item x="61"/>
        <item x="15"/>
        <item x="211"/>
        <item x="59"/>
        <item x="111"/>
        <item x="85"/>
        <item x="152"/>
        <item x="190"/>
        <item x="113"/>
        <item x="71"/>
        <item x="141"/>
        <item x="26"/>
        <item x="72"/>
        <item x="167"/>
        <item x="117"/>
        <item x="9"/>
        <item x="101"/>
        <item x="1"/>
        <item x="133"/>
        <item x="166"/>
        <item x="25"/>
        <item x="135"/>
        <item x="223"/>
        <item x="60"/>
        <item x="73"/>
        <item x="46"/>
        <item x="108"/>
        <item x="159"/>
        <item x="155"/>
        <item x="128"/>
        <item x="96"/>
        <item x="146"/>
        <item x="158"/>
        <item x="45"/>
        <item x="114"/>
        <item x="154"/>
        <item x="189"/>
        <item x="38"/>
        <item x="67"/>
        <item x="112"/>
        <item x="168"/>
        <item x="51"/>
        <item x="187"/>
        <item x="58"/>
        <item x="214"/>
        <item x="109"/>
        <item x="161"/>
        <item x="115"/>
        <item x="147"/>
        <item x="30"/>
        <item x="184"/>
        <item x="110"/>
        <item x="89"/>
        <item x="186"/>
        <item x="208"/>
        <item x="201"/>
        <item x="98"/>
        <item x="12"/>
        <item x="219"/>
        <item x="18"/>
        <item x="90"/>
        <item x="204"/>
        <item x="160"/>
        <item x="88"/>
        <item x="165"/>
        <item x="13"/>
        <item x="77"/>
        <item x="200"/>
        <item x="50"/>
        <item x="195"/>
        <item x="54"/>
        <item x="104"/>
        <item x="47"/>
        <item x="87"/>
        <item x="19"/>
        <item x="24"/>
        <item x="212"/>
        <item x="32"/>
        <item x="21"/>
        <item x="172"/>
        <item x="84"/>
        <item x="233"/>
        <item x="33"/>
        <item x="183"/>
        <item x="192"/>
        <item x="39"/>
        <item x="144"/>
        <item x="82"/>
        <item x="56"/>
        <item x="105"/>
        <item x="170"/>
        <item x="232"/>
        <item x="40"/>
        <item x="121"/>
        <item x="202"/>
        <item x="197"/>
        <item x="124"/>
        <item x="31"/>
        <item x="203"/>
        <item x="148"/>
        <item x="11"/>
        <item x="151"/>
        <item x="34"/>
        <item x="100"/>
        <item x="227"/>
        <item x="120"/>
        <item x="143"/>
        <item x="139"/>
        <item x="75"/>
        <item x="231"/>
        <item x="122"/>
        <item x="162"/>
        <item x="224"/>
        <item x="5"/>
        <item x="182"/>
        <item x="138"/>
        <item x="35"/>
        <item x="164"/>
        <item x="0"/>
        <item x="218"/>
        <item x="95"/>
        <item x="2"/>
        <item x="8"/>
        <item x="198"/>
        <item x="217"/>
        <item x="196"/>
        <item x="42"/>
        <item x="194"/>
        <item x="106"/>
        <item x="140"/>
        <item x="99"/>
        <item x="193"/>
        <item x="205"/>
        <item x="68"/>
        <item x="220"/>
        <item x="206"/>
        <item x="74"/>
        <item x="213"/>
        <item x="94"/>
        <item x="55"/>
        <item x="228"/>
        <item x="57"/>
        <item x="163"/>
        <item x="63"/>
        <item x="102"/>
        <item x="131"/>
        <item x="171"/>
        <item x="16"/>
        <item x="149"/>
        <item x="27"/>
        <item x="156"/>
        <item x="93"/>
        <item x="221"/>
        <item x="92"/>
        <item x="41"/>
        <item t="default"/>
      </items>
    </pivotField>
    <pivotField compact="0" subtotalTop="0" showAll="0"/>
    <pivotField dataField="1" compact="0" subtotalTop="0" showAll="0"/>
    <pivotField dataField="1" compact="0" subtotalTop="0" showAll="0"/>
    <pivotField dataField="1" compact="0" subtotalTop="0" showAll="0"/>
    <pivotField dataField="1" compact="0" subtotalTop="0" showAll="0"/>
    <pivotField compact="0" subtotalTop="0" showAll="0"/>
    <pivotField compact="0" subtotalTop="0" showAll="0"/>
    <pivotField compact="0" subtotalTop="0" showAll="0"/>
    <pivotField compact="0" subtotalTop="0" showAll="0">
      <items count="235">
        <item x="226"/>
        <item x="209"/>
        <item x="64"/>
        <item x="173"/>
        <item x="150"/>
        <item x="177"/>
        <item x="215"/>
        <item x="176"/>
        <item x="216"/>
        <item x="188"/>
        <item x="6"/>
        <item x="142"/>
        <item x="229"/>
        <item x="28"/>
        <item x="153"/>
        <item x="37"/>
        <item x="157"/>
        <item x="137"/>
        <item x="180"/>
        <item x="4"/>
        <item x="44"/>
        <item x="116"/>
        <item x="126"/>
        <item x="134"/>
        <item x="76"/>
        <item x="3"/>
        <item x="130"/>
        <item x="65"/>
        <item x="174"/>
        <item x="78"/>
        <item x="69"/>
        <item x="22"/>
        <item x="83"/>
        <item x="185"/>
        <item x="97"/>
        <item x="107"/>
        <item x="132"/>
        <item x="10"/>
        <item x="222"/>
        <item x="7"/>
        <item x="103"/>
        <item x="53"/>
        <item x="230"/>
        <item x="181"/>
        <item x="210"/>
        <item x="225"/>
        <item x="81"/>
        <item x="178"/>
        <item x="79"/>
        <item x="175"/>
        <item x="145"/>
        <item x="70"/>
        <item x="167"/>
        <item x="20"/>
        <item x="123"/>
        <item x="29"/>
        <item x="179"/>
        <item x="52"/>
        <item x="48"/>
        <item x="191"/>
        <item x="14"/>
        <item x="91"/>
        <item x="15"/>
        <item x="17"/>
        <item x="43"/>
        <item x="119"/>
        <item x="36"/>
        <item x="219"/>
        <item x="23"/>
        <item x="125"/>
        <item x="59"/>
        <item x="80"/>
        <item x="127"/>
        <item x="118"/>
        <item x="199"/>
        <item x="62"/>
        <item x="169"/>
        <item x="66"/>
        <item x="72"/>
        <item x="136"/>
        <item x="207"/>
        <item x="85"/>
        <item x="26"/>
        <item x="71"/>
        <item x="49"/>
        <item x="155"/>
        <item x="86"/>
        <item x="141"/>
        <item x="108"/>
        <item x="129"/>
        <item x="211"/>
        <item x="113"/>
        <item x="158"/>
        <item x="128"/>
        <item x="60"/>
        <item x="135"/>
        <item x="61"/>
        <item x="168"/>
        <item x="114"/>
        <item x="159"/>
        <item x="104"/>
        <item x="152"/>
        <item x="190"/>
        <item x="45"/>
        <item x="101"/>
        <item x="115"/>
        <item x="187"/>
        <item x="38"/>
        <item x="208"/>
        <item x="214"/>
        <item x="1"/>
        <item x="112"/>
        <item x="111"/>
        <item x="161"/>
        <item x="147"/>
        <item x="160"/>
        <item x="9"/>
        <item x="110"/>
        <item x="166"/>
        <item x="186"/>
        <item x="88"/>
        <item x="223"/>
        <item x="146"/>
        <item x="98"/>
        <item x="96"/>
        <item x="204"/>
        <item x="109"/>
        <item x="21"/>
        <item x="117"/>
        <item x="195"/>
        <item x="32"/>
        <item x="58"/>
        <item x="39"/>
        <item x="133"/>
        <item x="192"/>
        <item x="25"/>
        <item x="154"/>
        <item x="172"/>
        <item x="89"/>
        <item x="84"/>
        <item x="232"/>
        <item x="183"/>
        <item x="54"/>
        <item x="46"/>
        <item x="189"/>
        <item x="24"/>
        <item x="67"/>
        <item x="121"/>
        <item x="148"/>
        <item x="87"/>
        <item x="73"/>
        <item x="51"/>
        <item x="212"/>
        <item x="233"/>
        <item x="13"/>
        <item x="82"/>
        <item x="100"/>
        <item x="31"/>
        <item x="5"/>
        <item x="182"/>
        <item x="124"/>
        <item x="56"/>
        <item x="201"/>
        <item x="202"/>
        <item x="34"/>
        <item x="120"/>
        <item x="33"/>
        <item x="231"/>
        <item x="184"/>
        <item x="12"/>
        <item x="200"/>
        <item x="139"/>
        <item x="77"/>
        <item x="30"/>
        <item x="165"/>
        <item x="75"/>
        <item x="47"/>
        <item x="18"/>
        <item x="19"/>
        <item x="50"/>
        <item x="95"/>
        <item x="40"/>
        <item x="122"/>
        <item x="90"/>
        <item x="217"/>
        <item x="0"/>
        <item x="198"/>
        <item x="227"/>
        <item x="106"/>
        <item x="224"/>
        <item x="105"/>
        <item x="197"/>
        <item x="143"/>
        <item x="11"/>
        <item x="144"/>
        <item x="162"/>
        <item x="205"/>
        <item x="2"/>
        <item x="203"/>
        <item x="151"/>
        <item x="138"/>
        <item x="170"/>
        <item x="55"/>
        <item x="42"/>
        <item x="35"/>
        <item x="193"/>
        <item x="8"/>
        <item x="140"/>
        <item x="63"/>
        <item x="94"/>
        <item x="164"/>
        <item x="194"/>
        <item x="196"/>
        <item x="57"/>
        <item x="213"/>
        <item x="206"/>
        <item x="163"/>
        <item x="228"/>
        <item x="218"/>
        <item x="131"/>
        <item x="68"/>
        <item x="99"/>
        <item x="149"/>
        <item x="220"/>
        <item x="156"/>
        <item x="16"/>
        <item x="74"/>
        <item x="27"/>
        <item x="102"/>
        <item x="93"/>
        <item x="171"/>
        <item x="221"/>
        <item x="92"/>
        <item x="41"/>
        <item t="default"/>
      </items>
    </pivotField>
    <pivotField compact="0" subtotalTop="0" showAll="0">
      <items count="234">
        <item x="225"/>
        <item x="134"/>
        <item x="76"/>
        <item x="208"/>
        <item x="142"/>
        <item x="215"/>
        <item x="119"/>
        <item x="187"/>
        <item x="175"/>
        <item x="22"/>
        <item x="179"/>
        <item x="83"/>
        <item x="6"/>
        <item x="137"/>
        <item x="103"/>
        <item x="228"/>
        <item x="28"/>
        <item x="116"/>
        <item x="10"/>
        <item x="126"/>
        <item x="3"/>
        <item x="44"/>
        <item x="176"/>
        <item x="150"/>
        <item x="173"/>
        <item x="37"/>
        <item x="123"/>
        <item x="125"/>
        <item x="79"/>
        <item x="221"/>
        <item x="130"/>
        <item x="177"/>
        <item x="17"/>
        <item x="7"/>
        <item x="48"/>
        <item x="184"/>
        <item x="157"/>
        <item x="153"/>
        <item x="4"/>
        <item x="81"/>
        <item x="97"/>
        <item x="174"/>
        <item x="132"/>
        <item x="186"/>
        <item x="209"/>
        <item x="53"/>
        <item x="15"/>
        <item x="107"/>
        <item x="214"/>
        <item x="180"/>
        <item x="89"/>
        <item x="127"/>
        <item x="65"/>
        <item x="80"/>
        <item x="43"/>
        <item x="129"/>
        <item x="169"/>
        <item x="118"/>
        <item x="178"/>
        <item x="36"/>
        <item x="70"/>
        <item x="210"/>
        <item x="29"/>
        <item x="158"/>
        <item x="166"/>
        <item x="49"/>
        <item x="112"/>
        <item x="72"/>
        <item x="101"/>
        <item x="167"/>
        <item x="64"/>
        <item x="224"/>
        <item x="136"/>
        <item x="14"/>
        <item x="206"/>
        <item x="62"/>
        <item x="108"/>
        <item x="66"/>
        <item x="145"/>
        <item x="189"/>
        <item x="98"/>
        <item x="58"/>
        <item x="20"/>
        <item x="52"/>
        <item x="152"/>
        <item x="172"/>
        <item x="87"/>
        <item x="32"/>
        <item x="59"/>
        <item x="1"/>
        <item x="190"/>
        <item x="9"/>
        <item x="113"/>
        <item x="19"/>
        <item x="133"/>
        <item x="85"/>
        <item x="202"/>
        <item x="23"/>
        <item x="200"/>
        <item x="144"/>
        <item x="51"/>
        <item x="61"/>
        <item x="54"/>
        <item x="188"/>
        <item x="45"/>
        <item x="25"/>
        <item x="46"/>
        <item x="207"/>
        <item x="111"/>
        <item x="117"/>
        <item x="196"/>
        <item x="73"/>
        <item x="96"/>
        <item x="185"/>
        <item x="159"/>
        <item x="50"/>
        <item x="69"/>
        <item x="218"/>
        <item x="12"/>
        <item x="13"/>
        <item x="183"/>
        <item x="104"/>
        <item x="165"/>
        <item x="90"/>
        <item x="193"/>
        <item x="91"/>
        <item x="82"/>
        <item x="47"/>
        <item x="30"/>
        <item x="114"/>
        <item x="88"/>
        <item x="21"/>
        <item x="60"/>
        <item x="121"/>
        <item x="151"/>
        <item x="147"/>
        <item x="77"/>
        <item x="203"/>
        <item x="143"/>
        <item x="16"/>
        <item x="211"/>
        <item x="198"/>
        <item x="222"/>
        <item x="33"/>
        <item x="201"/>
        <item x="182"/>
        <item x="109"/>
        <item x="18"/>
        <item x="86"/>
        <item x="110"/>
        <item x="170"/>
        <item x="75"/>
        <item x="216"/>
        <item x="219"/>
        <item x="84"/>
        <item x="229"/>
        <item x="71"/>
        <item x="146"/>
        <item x="31"/>
        <item x="56"/>
        <item x="99"/>
        <item x="155"/>
        <item x="164"/>
        <item x="100"/>
        <item x="154"/>
        <item x="122"/>
        <item x="227"/>
        <item x="67"/>
        <item x="168"/>
        <item x="163"/>
        <item x="74"/>
        <item x="102"/>
        <item x="232"/>
        <item x="161"/>
        <item x="95"/>
        <item x="138"/>
        <item x="223"/>
        <item x="199"/>
        <item x="160"/>
        <item x="34"/>
        <item x="213"/>
        <item x="195"/>
        <item x="205"/>
        <item x="230"/>
        <item x="68"/>
        <item x="106"/>
        <item x="26"/>
        <item x="120"/>
        <item x="217"/>
        <item x="194"/>
        <item x="38"/>
        <item x="191"/>
        <item x="0"/>
        <item x="140"/>
        <item x="231"/>
        <item x="40"/>
        <item x="212"/>
        <item x="139"/>
        <item x="141"/>
        <item x="156"/>
        <item x="226"/>
        <item x="149"/>
        <item x="204"/>
        <item x="57"/>
        <item x="128"/>
        <item x="24"/>
        <item x="63"/>
        <item x="42"/>
        <item x="192"/>
        <item x="124"/>
        <item x="5"/>
        <item x="148"/>
        <item x="39"/>
        <item x="162"/>
        <item x="135"/>
        <item x="94"/>
        <item x="115"/>
        <item x="197"/>
        <item x="93"/>
        <item x="131"/>
        <item x="181"/>
        <item x="78"/>
        <item x="55"/>
        <item x="2"/>
        <item x="105"/>
        <item x="8"/>
        <item x="92"/>
        <item x="11"/>
        <item x="27"/>
        <item x="220"/>
        <item x="41"/>
        <item x="35"/>
        <item x="171"/>
        <item t="default"/>
      </items>
    </pivotField>
    <pivotField compact="0" subtotalTop="0" showAll="0">
      <items count="231">
        <item x="222"/>
        <item x="132"/>
        <item x="75"/>
        <item x="205"/>
        <item x="140"/>
        <item x="170"/>
        <item x="212"/>
        <item x="118"/>
        <item x="184"/>
        <item x="173"/>
        <item x="22"/>
        <item x="177"/>
        <item x="82"/>
        <item x="6"/>
        <item x="135"/>
        <item x="102"/>
        <item x="28"/>
        <item x="115"/>
        <item x="10"/>
        <item x="3"/>
        <item x="37"/>
        <item x="174"/>
        <item x="171"/>
        <item x="148"/>
        <item x="225"/>
        <item x="122"/>
        <item x="124"/>
        <item x="78"/>
        <item x="218"/>
        <item x="128"/>
        <item x="175"/>
        <item x="17"/>
        <item x="7"/>
        <item x="47"/>
        <item x="151"/>
        <item x="4"/>
        <item x="80"/>
        <item x="96"/>
        <item x="172"/>
        <item x="130"/>
        <item x="183"/>
        <item x="206"/>
        <item x="52"/>
        <item x="15"/>
        <item x="106"/>
        <item x="211"/>
        <item x="178"/>
        <item x="88"/>
        <item x="125"/>
        <item x="64"/>
        <item x="79"/>
        <item x="43"/>
        <item x="127"/>
        <item x="166"/>
        <item x="117"/>
        <item x="176"/>
        <item x="69"/>
        <item x="36"/>
        <item x="207"/>
        <item x="29"/>
        <item x="155"/>
        <item x="163"/>
        <item x="48"/>
        <item x="14"/>
        <item x="71"/>
        <item x="111"/>
        <item x="100"/>
        <item x="164"/>
        <item x="63"/>
        <item x="221"/>
        <item x="134"/>
        <item x="203"/>
        <item x="61"/>
        <item x="107"/>
        <item x="65"/>
        <item x="143"/>
        <item x="186"/>
        <item x="57"/>
        <item x="97"/>
        <item x="20"/>
        <item x="51"/>
        <item x="169"/>
        <item x="150"/>
        <item x="32"/>
        <item x="1"/>
        <item x="86"/>
        <item x="187"/>
        <item x="58"/>
        <item x="84"/>
        <item x="9"/>
        <item x="19"/>
        <item x="112"/>
        <item x="131"/>
        <item x="142"/>
        <item x="199"/>
        <item x="23"/>
        <item x="197"/>
        <item x="50"/>
        <item x="60"/>
        <item x="53"/>
        <item x="185"/>
        <item x="44"/>
        <item x="25"/>
        <item x="204"/>
        <item x="45"/>
        <item x="193"/>
        <item x="110"/>
        <item x="116"/>
        <item x="95"/>
        <item x="72"/>
        <item x="215"/>
        <item x="182"/>
        <item x="156"/>
        <item x="49"/>
        <item x="12"/>
        <item x="13"/>
        <item x="68"/>
        <item x="181"/>
        <item x="103"/>
        <item x="89"/>
        <item x="162"/>
        <item x="120"/>
        <item x="113"/>
        <item x="190"/>
        <item x="90"/>
        <item x="46"/>
        <item x="81"/>
        <item x="30"/>
        <item x="87"/>
        <item x="21"/>
        <item x="145"/>
        <item x="149"/>
        <item x="59"/>
        <item x="76"/>
        <item x="16"/>
        <item x="200"/>
        <item x="141"/>
        <item x="208"/>
        <item x="195"/>
        <item x="219"/>
        <item x="33"/>
        <item x="198"/>
        <item x="108"/>
        <item x="180"/>
        <item x="85"/>
        <item x="213"/>
        <item x="18"/>
        <item x="74"/>
        <item x="167"/>
        <item x="109"/>
        <item x="216"/>
        <item x="83"/>
        <item x="55"/>
        <item x="70"/>
        <item x="144"/>
        <item x="226"/>
        <item x="31"/>
        <item x="98"/>
        <item x="160"/>
        <item x="66"/>
        <item x="161"/>
        <item x="153"/>
        <item x="224"/>
        <item x="99"/>
        <item x="121"/>
        <item x="165"/>
        <item x="73"/>
        <item x="152"/>
        <item x="101"/>
        <item x="229"/>
        <item x="158"/>
        <item x="196"/>
        <item x="77"/>
        <item x="94"/>
        <item x="220"/>
        <item x="136"/>
        <item x="157"/>
        <item x="210"/>
        <item x="34"/>
        <item x="192"/>
        <item x="202"/>
        <item x="227"/>
        <item x="67"/>
        <item x="26"/>
        <item x="105"/>
        <item x="214"/>
        <item x="119"/>
        <item x="38"/>
        <item x="188"/>
        <item x="191"/>
        <item x="0"/>
        <item x="138"/>
        <item x="228"/>
        <item x="40"/>
        <item x="154"/>
        <item x="209"/>
        <item x="137"/>
        <item x="139"/>
        <item x="223"/>
        <item x="201"/>
        <item x="147"/>
        <item x="56"/>
        <item x="126"/>
        <item x="24"/>
        <item x="42"/>
        <item x="62"/>
        <item x="189"/>
        <item x="123"/>
        <item x="5"/>
        <item x="39"/>
        <item x="146"/>
        <item x="159"/>
        <item x="133"/>
        <item x="93"/>
        <item x="114"/>
        <item x="194"/>
        <item x="92"/>
        <item x="129"/>
        <item x="179"/>
        <item x="54"/>
        <item x="2"/>
        <item x="104"/>
        <item x="8"/>
        <item x="91"/>
        <item x="11"/>
        <item x="27"/>
        <item x="35"/>
        <item x="217"/>
        <item x="41"/>
        <item x="168"/>
        <item t="default"/>
      </items>
    </pivotField>
    <pivotField compact="0" subtotalTop="0" showAll="0">
      <items count="235">
        <item x="78"/>
        <item x="64"/>
        <item x="230"/>
        <item x="135"/>
        <item x="141"/>
        <item x="11"/>
        <item x="69"/>
        <item x="91"/>
        <item x="115"/>
        <item x="199"/>
        <item x="86"/>
        <item x="35"/>
        <item x="128"/>
        <item x="26"/>
        <item x="105"/>
        <item x="150"/>
        <item x="171"/>
        <item x="38"/>
        <item x="71"/>
        <item x="24"/>
        <item x="214"/>
        <item x="39"/>
        <item x="155"/>
        <item x="154"/>
        <item x="145"/>
        <item x="8"/>
        <item x="182"/>
        <item x="161"/>
        <item x="195"/>
        <item x="168"/>
        <item x="20"/>
        <item x="67"/>
        <item x="124"/>
        <item x="2"/>
        <item x="223"/>
        <item x="146"/>
        <item x="23"/>
        <item x="148"/>
        <item x="160"/>
        <item x="177"/>
        <item x="198"/>
        <item x="27"/>
        <item x="191"/>
        <item x="200"/>
        <item x="40"/>
        <item x="162"/>
        <item x="225"/>
        <item x="232"/>
        <item x="192"/>
        <item x="5"/>
        <item x="111"/>
        <item x="60"/>
        <item x="61"/>
        <item x="227"/>
        <item x="110"/>
        <item x="109"/>
        <item x="221"/>
        <item x="65"/>
        <item x="157"/>
        <item x="14"/>
        <item x="139"/>
        <item x="233"/>
        <item x="229"/>
        <item x="137"/>
        <item x="55"/>
        <item x="117"/>
        <item x="136"/>
        <item x="42"/>
        <item x="18"/>
        <item x="215"/>
        <item x="52"/>
        <item x="193"/>
        <item x="66"/>
        <item x="120"/>
        <item x="73"/>
        <item x="94"/>
        <item x="114"/>
        <item x="84"/>
        <item x="147"/>
        <item x="34"/>
        <item x="159"/>
        <item x="59"/>
        <item x="30"/>
        <item x="0"/>
        <item x="25"/>
        <item x="231"/>
        <item x="131"/>
        <item x="218"/>
        <item x="62"/>
        <item x="44"/>
        <item x="204"/>
        <item x="46"/>
        <item x="56"/>
        <item x="96"/>
        <item x="205"/>
        <item x="85"/>
        <item x="113"/>
        <item x="224"/>
        <item x="212"/>
        <item x="179"/>
        <item x="77"/>
        <item x="184"/>
        <item x="31"/>
        <item x="140"/>
        <item x="152"/>
        <item x="138"/>
        <item x="29"/>
        <item x="170"/>
        <item x="70"/>
        <item x="100"/>
        <item x="183"/>
        <item x="207"/>
        <item x="88"/>
        <item x="106"/>
        <item x="33"/>
        <item x="196"/>
        <item x="53"/>
        <item x="9"/>
        <item x="133"/>
        <item x="45"/>
        <item x="95"/>
        <item x="122"/>
        <item x="1"/>
        <item x="190"/>
        <item x="153"/>
        <item x="47"/>
        <item x="12"/>
        <item x="213"/>
        <item x="90"/>
        <item x="63"/>
        <item x="57"/>
        <item x="165"/>
        <item x="189"/>
        <item x="68"/>
        <item x="21"/>
        <item x="186"/>
        <item x="202"/>
        <item x="13"/>
        <item x="104"/>
        <item x="164"/>
        <item x="219"/>
        <item x="49"/>
        <item x="50"/>
        <item x="206"/>
        <item x="93"/>
        <item x="51"/>
        <item x="36"/>
        <item x="75"/>
        <item x="97"/>
        <item x="210"/>
        <item x="41"/>
        <item x="107"/>
        <item x="208"/>
        <item x="132"/>
        <item x="82"/>
        <item x="4"/>
        <item x="6"/>
        <item x="174"/>
        <item x="209"/>
        <item x="99"/>
        <item x="28"/>
        <item x="7"/>
        <item x="143"/>
        <item x="121"/>
        <item x="151"/>
        <item x="201"/>
        <item x="3"/>
        <item x="126"/>
        <item x="54"/>
        <item x="185"/>
        <item x="167"/>
        <item x="217"/>
        <item x="181"/>
        <item x="74"/>
        <item x="108"/>
        <item x="149"/>
        <item x="80"/>
        <item x="116"/>
        <item x="118"/>
        <item x="101"/>
        <item x="178"/>
        <item x="72"/>
        <item x="220"/>
        <item x="37"/>
        <item x="222"/>
        <item x="175"/>
        <item x="211"/>
        <item x="58"/>
        <item x="156"/>
        <item x="228"/>
        <item x="81"/>
        <item x="127"/>
        <item x="102"/>
        <item x="197"/>
        <item x="166"/>
        <item x="79"/>
        <item x="216"/>
        <item x="19"/>
        <item x="163"/>
        <item x="169"/>
        <item x="98"/>
        <item x="87"/>
        <item x="48"/>
        <item x="173"/>
        <item x="43"/>
        <item x="92"/>
        <item x="32"/>
        <item x="144"/>
        <item x="194"/>
        <item x="112"/>
        <item x="172"/>
        <item x="180"/>
        <item x="10"/>
        <item x="142"/>
        <item x="176"/>
        <item x="129"/>
        <item x="17"/>
        <item x="203"/>
        <item x="130"/>
        <item x="158"/>
        <item x="103"/>
        <item x="83"/>
        <item x="226"/>
        <item x="22"/>
        <item x="188"/>
        <item x="16"/>
        <item x="125"/>
        <item x="123"/>
        <item x="15"/>
        <item x="76"/>
        <item x="89"/>
        <item x="187"/>
        <item x="134"/>
        <item x="119"/>
        <item t="default"/>
      </items>
    </pivotField>
    <pivotField compact="0" subtotalTop="0" showAll="0">
      <items count="181">
        <item x="171"/>
        <item x="94"/>
        <item x="3"/>
        <item x="30"/>
        <item x="97"/>
        <item x="93"/>
        <item x="25"/>
        <item x="149"/>
        <item x="43"/>
        <item x="173"/>
        <item x="113"/>
        <item x="110"/>
        <item x="68"/>
        <item x="86"/>
        <item x="142"/>
        <item x="177"/>
        <item x="123"/>
        <item x="18"/>
        <item x="1"/>
        <item x="44"/>
        <item x="9"/>
        <item x="143"/>
        <item x="64"/>
        <item x="104"/>
        <item x="83"/>
        <item x="138"/>
        <item x="145"/>
        <item x="56"/>
        <item x="133"/>
        <item x="46"/>
        <item x="122"/>
        <item x="112"/>
        <item x="134"/>
        <item x="174"/>
        <item x="10"/>
        <item x="70"/>
        <item x="67"/>
        <item x="65"/>
        <item x="155"/>
        <item x="85"/>
        <item x="22"/>
        <item x="152"/>
        <item x="105"/>
        <item x="42"/>
        <item x="59"/>
        <item x="141"/>
        <item x="162"/>
        <item x="124"/>
        <item x="17"/>
        <item x="126"/>
        <item x="12"/>
        <item x="135"/>
        <item x="157"/>
        <item x="81"/>
        <item x="172"/>
        <item x="53"/>
        <item x="118"/>
        <item x="73"/>
        <item x="19"/>
        <item x="69"/>
        <item x="45"/>
        <item x="13"/>
        <item x="49"/>
        <item x="27"/>
        <item x="47"/>
        <item x="14"/>
        <item x="8"/>
        <item x="58"/>
        <item x="39"/>
        <item x="7"/>
        <item x="28"/>
        <item x="15"/>
        <item x="107"/>
        <item x="23"/>
        <item x="6"/>
        <item x="167"/>
        <item x="78"/>
        <item x="40"/>
        <item x="79"/>
        <item x="71"/>
        <item x="61"/>
        <item x="119"/>
        <item x="166"/>
        <item x="34"/>
        <item x="57"/>
        <item x="29"/>
        <item x="137"/>
        <item x="36"/>
        <item x="35"/>
        <item x="108"/>
        <item x="169"/>
        <item x="140"/>
        <item x="11"/>
        <item x="4"/>
        <item x="114"/>
        <item x="89"/>
        <item x="87"/>
        <item x="95"/>
        <item x="16"/>
        <item x="101"/>
        <item x="51"/>
        <item x="130"/>
        <item x="165"/>
        <item x="24"/>
        <item x="88"/>
        <item x="103"/>
        <item x="99"/>
        <item x="147"/>
        <item x="98"/>
        <item x="20"/>
        <item x="128"/>
        <item x="72"/>
        <item x="48"/>
        <item x="168"/>
        <item x="92"/>
        <item x="120"/>
        <item x="116"/>
        <item x="131"/>
        <item x="76"/>
        <item x="111"/>
        <item x="156"/>
        <item x="163"/>
        <item x="82"/>
        <item x="52"/>
        <item x="175"/>
        <item x="26"/>
        <item x="2"/>
        <item x="144"/>
        <item x="117"/>
        <item x="55"/>
        <item x="91"/>
        <item x="41"/>
        <item x="125"/>
        <item x="146"/>
        <item x="90"/>
        <item x="129"/>
        <item x="66"/>
        <item x="62"/>
        <item x="160"/>
        <item x="96"/>
        <item x="178"/>
        <item x="75"/>
        <item x="150"/>
        <item x="80"/>
        <item x="37"/>
        <item x="127"/>
        <item x="136"/>
        <item x="153"/>
        <item x="139"/>
        <item x="164"/>
        <item x="176"/>
        <item x="60"/>
        <item x="100"/>
        <item x="74"/>
        <item x="54"/>
        <item x="84"/>
        <item x="63"/>
        <item x="0"/>
        <item x="31"/>
        <item x="148"/>
        <item x="33"/>
        <item x="77"/>
        <item x="158"/>
        <item x="32"/>
        <item x="21"/>
        <item x="115"/>
        <item x="179"/>
        <item x="161"/>
        <item x="170"/>
        <item x="154"/>
        <item x="102"/>
        <item x="5"/>
        <item x="38"/>
        <item x="106"/>
        <item x="50"/>
        <item x="151"/>
        <item x="159"/>
        <item x="121"/>
        <item x="132"/>
        <item x="109"/>
        <item t="default"/>
      </items>
    </pivotField>
    <pivotField compact="0" numFmtId="10" subtotalTop="0" showAll="0"/>
  </pivotFields>
  <rowFields count="1">
    <field x="2"/>
  </rowFields>
  <rowItems count="2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pop2050" fld="7" baseField="0" baseItem="0"/>
    <dataField name="Sum of pop2030" fld="8" baseField="0" baseItem="0"/>
    <dataField name="Sum of pop2022" fld="4" baseField="0" baseItem="0"/>
    <dataField name="Sum of pop2021" fld="5" baseField="0" baseItem="0"/>
    <dataField name="Sum of pop2015" fld="9" baseField="0" baseItem="0"/>
    <dataField name="Sum of pop2010" fld="10" baseField="0" baseItem="0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W4:AF11" firstHeaderRow="0" firstDataRow="1" firstDataCol="1"/>
  <pivotFields count="20">
    <pivotField showAll="0"/>
    <pivotField showAll="0"/>
    <pivotField showAll="0">
      <items count="2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t="default"/>
      </items>
    </pivotField>
    <pivotField axis="axisRow" showAll="0">
      <items count="7">
        <item x="2"/>
        <item x="0"/>
        <item x="1"/>
        <item x="4"/>
        <item x="3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numFmtId="10"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pop1990" fld="12" baseField="0" baseItem="0"/>
    <dataField name="Sum of pop2000" fld="11" baseField="0" baseItem="0"/>
    <dataField name="Sum of pop2010" fld="10" baseField="0" baseItem="0"/>
    <dataField name="Sum of pop2015" fld="9" baseField="0" baseItem="0"/>
    <dataField name="Sum of pop2020" fld="6" baseField="0" baseItem="0"/>
    <dataField name="Sum of pop2021" fld="5" baseField="0" baseItem="0"/>
    <dataField name="Sum of pop2030" fld="8" baseField="0" baseItem="0"/>
    <dataField name="Sum of pop2050" fld="7" baseField="0" baseItem="0"/>
    <dataField name="Sum of pop2022" fld="4" baseField="0" baseItem="0"/>
  </dataFields>
  <chartFormats count="9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20" series="1">
      <pivotArea type="data" outline="0" fieldPosition="0">
        <references count="1">
          <reference field="429496729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253"/>
  <sheetViews>
    <sheetView topLeftCell="B1" zoomScale="90" zoomScaleNormal="90" workbookViewId="0">
      <selection activeCell="I22" sqref="I22"/>
    </sheetView>
  </sheetViews>
  <sheetFormatPr defaultRowHeight="15" x14ac:dyDescent="0.25"/>
  <cols>
    <col min="1" max="1" width="4.85546875" bestFit="1" customWidth="1"/>
    <col min="2" max="2" width="4.7109375" bestFit="1" customWidth="1"/>
    <col min="3" max="3" width="31.140625" bestFit="1" customWidth="1"/>
    <col min="4" max="4" width="31.140625" customWidth="1"/>
    <col min="5" max="13" width="12" bestFit="1" customWidth="1"/>
    <col min="14" max="15" width="11" bestFit="1" customWidth="1"/>
    <col min="16" max="16" width="9" bestFit="1" customWidth="1"/>
    <col min="17" max="17" width="11.85546875" bestFit="1" customWidth="1"/>
    <col min="18" max="18" width="11" bestFit="1" customWidth="1"/>
    <col min="19" max="19" width="11.5703125" bestFit="1" customWidth="1"/>
    <col min="20" max="20" width="16.5703125" style="5" bestFit="1" customWidth="1"/>
    <col min="23" max="23" width="31.140625" customWidth="1"/>
    <col min="24" max="29" width="15.140625" customWidth="1"/>
    <col min="30" max="557" width="31.28515625" customWidth="1"/>
    <col min="558" max="558" width="31.28515625" bestFit="1" customWidth="1"/>
    <col min="559" max="728" width="31.28515625" customWidth="1"/>
    <col min="729" max="733" width="31.28515625" bestFit="1" customWidth="1"/>
    <col min="734" max="734" width="31.28515625" customWidth="1"/>
    <col min="735" max="760" width="31.28515625" bestFit="1" customWidth="1"/>
    <col min="761" max="761" width="31.28515625" customWidth="1"/>
    <col min="762" max="765" width="31.28515625" bestFit="1" customWidth="1"/>
    <col min="766" max="766" width="31.28515625" customWidth="1"/>
    <col min="767" max="778" width="31.28515625" bestFit="1" customWidth="1"/>
    <col min="779" max="779" width="31.28515625" customWidth="1"/>
    <col min="780" max="787" width="31.28515625" bestFit="1" customWidth="1"/>
    <col min="788" max="788" width="31.28515625" customWidth="1"/>
    <col min="789" max="795" width="31.28515625" bestFit="1" customWidth="1"/>
    <col min="796" max="796" width="31.28515625" customWidth="1"/>
    <col min="797" max="800" width="31.28515625" bestFit="1" customWidth="1"/>
    <col min="801" max="801" width="31.28515625" customWidth="1"/>
    <col min="802" max="807" width="31.28515625" bestFit="1" customWidth="1"/>
    <col min="808" max="808" width="31.28515625" customWidth="1"/>
    <col min="809" max="815" width="31.28515625" bestFit="1" customWidth="1"/>
    <col min="816" max="816" width="31.28515625" customWidth="1"/>
    <col min="817" max="817" width="31.28515625" bestFit="1" customWidth="1"/>
    <col min="818" max="818" width="31.28515625" customWidth="1"/>
    <col min="819" max="819" width="31.28515625" bestFit="1" customWidth="1"/>
    <col min="820" max="820" width="31.28515625" customWidth="1"/>
    <col min="821" max="821" width="31.28515625" bestFit="1" customWidth="1"/>
    <col min="822" max="822" width="31.28515625" customWidth="1"/>
    <col min="823" max="823" width="31.28515625" bestFit="1" customWidth="1"/>
    <col min="824" max="825" width="31.28515625" customWidth="1"/>
    <col min="826" max="826" width="31.28515625" bestFit="1" customWidth="1"/>
    <col min="827" max="827" width="31.28515625" customWidth="1"/>
    <col min="828" max="828" width="31.28515625" bestFit="1" customWidth="1"/>
    <col min="829" max="839" width="31.28515625" customWidth="1"/>
    <col min="840" max="840" width="31.28515625" bestFit="1" customWidth="1"/>
    <col min="841" max="842" width="31.28515625" customWidth="1"/>
    <col min="843" max="843" width="31.28515625" bestFit="1" customWidth="1"/>
    <col min="844" max="960" width="31.28515625" customWidth="1"/>
    <col min="961" max="963" width="31.28515625" bestFit="1" customWidth="1"/>
    <col min="964" max="964" width="31.28515625" customWidth="1"/>
    <col min="965" max="980" width="31.28515625" bestFit="1" customWidth="1"/>
    <col min="981" max="981" width="31.28515625" customWidth="1"/>
    <col min="982" max="992" width="31.28515625" bestFit="1" customWidth="1"/>
    <col min="993" max="993" width="31.28515625" customWidth="1"/>
    <col min="994" max="1006" width="31.28515625" bestFit="1" customWidth="1"/>
    <col min="1007" max="1007" width="31.28515625" customWidth="1"/>
    <col min="1008" max="1020" width="31.28515625" bestFit="1" customWidth="1"/>
    <col min="1021" max="1021" width="31.28515625" customWidth="1"/>
    <col min="1022" max="1037" width="31.28515625" bestFit="1" customWidth="1"/>
    <col min="1038" max="1038" width="31.28515625" customWidth="1"/>
    <col min="1039" max="1040" width="31.28515625" bestFit="1" customWidth="1"/>
    <col min="1041" max="1041" width="31.28515625" customWidth="1"/>
    <col min="1042" max="1053" width="31.28515625" bestFit="1" customWidth="1"/>
    <col min="1054" max="1056" width="31.28515625" customWidth="1"/>
    <col min="1057" max="1058" width="31.28515625" bestFit="1" customWidth="1"/>
    <col min="1059" max="1059" width="31.28515625" customWidth="1"/>
    <col min="1060" max="1060" width="31.28515625" bestFit="1" customWidth="1"/>
    <col min="1061" max="1061" width="31.28515625" customWidth="1"/>
    <col min="1062" max="1062" width="31.28515625" bestFit="1" customWidth="1"/>
    <col min="1063" max="1194" width="31.28515625" customWidth="1"/>
    <col min="1195" max="1201" width="31.28515625" bestFit="1" customWidth="1"/>
    <col min="1202" max="1202" width="31.28515625" customWidth="1"/>
    <col min="1203" max="1256" width="31.28515625" bestFit="1" customWidth="1"/>
    <col min="1257" max="1257" width="31.28515625" customWidth="1"/>
    <col min="1258" max="1276" width="31.28515625" bestFit="1" customWidth="1"/>
    <col min="1277" max="1277" width="31.28515625" customWidth="1"/>
    <col min="1278" max="1280" width="31.28515625" bestFit="1" customWidth="1"/>
    <col min="1281" max="1281" width="31.28515625" customWidth="1"/>
    <col min="1282" max="1282" width="31.28515625" bestFit="1" customWidth="1"/>
    <col min="1283" max="1283" width="31.28515625" customWidth="1"/>
    <col min="1284" max="1284" width="31.28515625" bestFit="1" customWidth="1"/>
    <col min="1285" max="1285" width="31.28515625" customWidth="1"/>
    <col min="1286" max="1286" width="31.28515625" bestFit="1" customWidth="1"/>
    <col min="1287" max="1426" width="31.28515625" customWidth="1"/>
    <col min="1427" max="1428" width="20.140625" customWidth="1"/>
    <col min="1429" max="1432" width="20.140625" bestFit="1" customWidth="1"/>
    <col min="1433" max="1439" width="11" bestFit="1" customWidth="1"/>
    <col min="1440" max="1440" width="10" bestFit="1" customWidth="1"/>
    <col min="1441" max="1441" width="8" customWidth="1"/>
    <col min="1442" max="1446" width="10" bestFit="1" customWidth="1"/>
    <col min="1447" max="1447" width="9" customWidth="1"/>
    <col min="1448" max="1452" width="10" bestFit="1" customWidth="1"/>
    <col min="1453" max="1453" width="9" customWidth="1"/>
    <col min="1454" max="1465" width="10" bestFit="1" customWidth="1"/>
    <col min="1466" max="1466" width="9" customWidth="1"/>
    <col min="1467" max="1504" width="10" bestFit="1" customWidth="1"/>
    <col min="1505" max="1505" width="8" customWidth="1"/>
    <col min="1506" max="1506" width="9" customWidth="1"/>
    <col min="1507" max="1507" width="10" bestFit="1" customWidth="1"/>
    <col min="1508" max="1508" width="9" customWidth="1"/>
    <col min="1509" max="1509" width="10" bestFit="1" customWidth="1"/>
    <col min="1510" max="1510" width="8" customWidth="1"/>
    <col min="1511" max="1512" width="9" customWidth="1"/>
    <col min="1513" max="1513" width="10" bestFit="1" customWidth="1"/>
    <col min="1514" max="1515" width="9" customWidth="1"/>
    <col min="1516" max="1516" width="10" bestFit="1" customWidth="1"/>
    <col min="1517" max="1517" width="9" customWidth="1"/>
    <col min="1518" max="1518" width="10" bestFit="1" customWidth="1"/>
    <col min="1519" max="1519" width="9" customWidth="1"/>
    <col min="1520" max="1520" width="10" bestFit="1" customWidth="1"/>
    <col min="1521" max="1538" width="9" customWidth="1"/>
    <col min="1539" max="1539" width="8" customWidth="1"/>
    <col min="1540" max="1540" width="9" customWidth="1"/>
    <col min="1541" max="1541" width="8" customWidth="1"/>
    <col min="1542" max="1546" width="9" customWidth="1"/>
    <col min="1547" max="1547" width="7" customWidth="1"/>
    <col min="1548" max="1561" width="9" customWidth="1"/>
    <col min="1562" max="1562" width="8" customWidth="1"/>
    <col min="1563" max="1576" width="9" customWidth="1"/>
    <col min="1577" max="1577" width="8" customWidth="1"/>
    <col min="1578" max="1578" width="9" customWidth="1"/>
    <col min="1579" max="1579" width="8" customWidth="1"/>
    <col min="1580" max="1584" width="9" customWidth="1"/>
    <col min="1585" max="1585" width="8" customWidth="1"/>
    <col min="1586" max="1586" width="9" customWidth="1"/>
    <col min="1587" max="1588" width="8" customWidth="1"/>
    <col min="1589" max="1589" width="7" customWidth="1"/>
    <col min="1590" max="1595" width="8" customWidth="1"/>
    <col min="1596" max="1596" width="7" customWidth="1"/>
    <col min="1597" max="1597" width="8" customWidth="1"/>
    <col min="1598" max="1598" width="7" customWidth="1"/>
    <col min="1599" max="1616" width="8" customWidth="1"/>
    <col min="1617" max="1617" width="7" customWidth="1"/>
    <col min="1618" max="1622" width="8" customWidth="1"/>
    <col min="1623" max="1624" width="7" customWidth="1"/>
    <col min="1625" max="1628" width="8" customWidth="1"/>
    <col min="1629" max="1636" width="7" customWidth="1"/>
    <col min="1637" max="1637" width="6" customWidth="1"/>
    <col min="1638" max="1649" width="7" customWidth="1"/>
    <col min="1650" max="1650" width="6" customWidth="1"/>
    <col min="1651" max="1654" width="7" customWidth="1"/>
    <col min="1655" max="1662" width="6" customWidth="1"/>
    <col min="1663" max="1663" width="15.140625" bestFit="1" customWidth="1"/>
    <col min="1664" max="1664" width="12" bestFit="1" customWidth="1"/>
    <col min="1665" max="1668" width="11" bestFit="1" customWidth="1"/>
    <col min="1669" max="1669" width="10" bestFit="1" customWidth="1"/>
    <col min="1670" max="1671" width="11" bestFit="1" customWidth="1"/>
    <col min="1672" max="1672" width="10" bestFit="1" customWidth="1"/>
    <col min="1673" max="1673" width="11" bestFit="1" customWidth="1"/>
    <col min="1674" max="1702" width="10" bestFit="1" customWidth="1"/>
    <col min="1703" max="1703" width="9" customWidth="1"/>
    <col min="1704" max="1706" width="10" bestFit="1" customWidth="1"/>
    <col min="1707" max="1707" width="9" customWidth="1"/>
    <col min="1708" max="1708" width="8" customWidth="1"/>
    <col min="1709" max="1710" width="10" bestFit="1" customWidth="1"/>
    <col min="1711" max="1711" width="8" customWidth="1"/>
    <col min="1712" max="1713" width="10" bestFit="1" customWidth="1"/>
    <col min="1714" max="1714" width="9" customWidth="1"/>
    <col min="1715" max="1724" width="10" bestFit="1" customWidth="1"/>
    <col min="1725" max="1725" width="9" customWidth="1"/>
    <col min="1726" max="1730" width="10" bestFit="1" customWidth="1"/>
    <col min="1731" max="1732" width="9" customWidth="1"/>
    <col min="1733" max="1733" width="10" bestFit="1" customWidth="1"/>
    <col min="1734" max="1734" width="9" customWidth="1"/>
    <col min="1735" max="1736" width="10" bestFit="1" customWidth="1"/>
    <col min="1737" max="1742" width="9" customWidth="1"/>
    <col min="1743" max="1743" width="10" bestFit="1" customWidth="1"/>
    <col min="1744" max="1746" width="9" customWidth="1"/>
    <col min="1747" max="1747" width="10" bestFit="1" customWidth="1"/>
    <col min="1748" max="1748" width="8" customWidth="1"/>
    <col min="1749" max="1751" width="9" customWidth="1"/>
    <col min="1752" max="1752" width="10" bestFit="1" customWidth="1"/>
    <col min="1753" max="1753" width="9" customWidth="1"/>
    <col min="1754" max="1754" width="10" bestFit="1" customWidth="1"/>
    <col min="1755" max="1755" width="9" customWidth="1"/>
    <col min="1756" max="1756" width="10" bestFit="1" customWidth="1"/>
    <col min="1757" max="1757" width="9" customWidth="1"/>
    <col min="1758" max="1758" width="10" bestFit="1" customWidth="1"/>
    <col min="1759" max="1768" width="9" customWidth="1"/>
    <col min="1769" max="1769" width="8" customWidth="1"/>
    <col min="1770" max="1775" width="9" customWidth="1"/>
    <col min="1776" max="1776" width="8" customWidth="1"/>
    <col min="1777" max="1777" width="9" customWidth="1"/>
    <col min="1778" max="1779" width="8" customWidth="1"/>
    <col min="1780" max="1786" width="9" customWidth="1"/>
    <col min="1787" max="1787" width="8" customWidth="1"/>
    <col min="1788" max="1793" width="9" customWidth="1"/>
    <col min="1794" max="1794" width="8" customWidth="1"/>
    <col min="1795" max="1798" width="9" customWidth="1"/>
    <col min="1799" max="1799" width="8" customWidth="1"/>
    <col min="1800" max="1804" width="9" customWidth="1"/>
    <col min="1805" max="1805" width="8" customWidth="1"/>
    <col min="1806" max="1808" width="9" customWidth="1"/>
    <col min="1809" max="1809" width="8" customWidth="1"/>
    <col min="1810" max="1812" width="9" customWidth="1"/>
    <col min="1813" max="1814" width="8" customWidth="1"/>
    <col min="1815" max="1815" width="9" customWidth="1"/>
    <col min="1816" max="1816" width="8" customWidth="1"/>
    <col min="1817" max="1817" width="7" customWidth="1"/>
    <col min="1818" max="1818" width="9" customWidth="1"/>
    <col min="1819" max="1820" width="8" customWidth="1"/>
    <col min="1821" max="1821" width="9" customWidth="1"/>
    <col min="1822" max="1851" width="8" customWidth="1"/>
    <col min="1852" max="1852" width="6" customWidth="1"/>
    <col min="1853" max="1853" width="8" customWidth="1"/>
    <col min="1854" max="1854" width="7" customWidth="1"/>
    <col min="1855" max="1856" width="8" customWidth="1"/>
    <col min="1857" max="1857" width="7" customWidth="1"/>
    <col min="1858" max="1858" width="6" customWidth="1"/>
    <col min="1859" max="1859" width="8" customWidth="1"/>
    <col min="1860" max="1860" width="7" customWidth="1"/>
    <col min="1861" max="1862" width="8" customWidth="1"/>
    <col min="1863" max="1870" width="7" customWidth="1"/>
    <col min="1871" max="1871" width="6" customWidth="1"/>
    <col min="1872" max="1874" width="7" customWidth="1"/>
    <col min="1875" max="1875" width="6" customWidth="1"/>
    <col min="1876" max="1881" width="7" customWidth="1"/>
    <col min="1882" max="1882" width="6" customWidth="1"/>
    <col min="1883" max="1888" width="7" customWidth="1"/>
    <col min="1889" max="1892" width="6" customWidth="1"/>
    <col min="1893" max="1893" width="5" customWidth="1"/>
    <col min="1894" max="1896" width="6" customWidth="1"/>
    <col min="1897" max="1904" width="20.140625" bestFit="1" customWidth="1"/>
  </cols>
  <sheetData>
    <row r="1" spans="1:33" x14ac:dyDescent="0.25">
      <c r="A1" s="1" t="s">
        <v>18</v>
      </c>
      <c r="B1" s="1" t="s">
        <v>0</v>
      </c>
      <c r="C1" s="1" t="s">
        <v>1</v>
      </c>
      <c r="D1" s="1" t="s">
        <v>501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9" t="s">
        <v>12</v>
      </c>
      <c r="P1" s="1" t="s">
        <v>13</v>
      </c>
      <c r="Q1" s="11" t="s">
        <v>14</v>
      </c>
      <c r="R1" s="1" t="s">
        <v>15</v>
      </c>
      <c r="S1" s="1" t="s">
        <v>16</v>
      </c>
      <c r="T1" s="3" t="s">
        <v>17</v>
      </c>
    </row>
    <row r="2" spans="1:33" x14ac:dyDescent="0.25">
      <c r="A2" s="2">
        <v>36</v>
      </c>
      <c r="B2" s="2" t="s">
        <v>89</v>
      </c>
      <c r="C2" s="2" t="s">
        <v>90</v>
      </c>
      <c r="D2" s="2" t="str">
        <f>VLOOKUP(C2,[2]world_pop.!$C:$E,3,FALSE)</f>
        <v>Asia</v>
      </c>
      <c r="E2" s="2">
        <v>41128.771000000001</v>
      </c>
      <c r="F2" s="2">
        <v>40099.462</v>
      </c>
      <c r="G2" s="2">
        <v>38972.230000000003</v>
      </c>
      <c r="H2" s="2">
        <v>74075.233999999997</v>
      </c>
      <c r="I2" s="2">
        <v>50330.837</v>
      </c>
      <c r="J2" s="2">
        <v>33753.499000000003</v>
      </c>
      <c r="K2" s="2">
        <v>28189.671999999999</v>
      </c>
      <c r="L2" s="2">
        <v>19542.982</v>
      </c>
      <c r="M2" s="2">
        <v>10694.796</v>
      </c>
      <c r="N2" s="2">
        <v>12486.630999999999</v>
      </c>
      <c r="O2" s="10">
        <v>10752.971</v>
      </c>
      <c r="P2" s="2">
        <v>652230</v>
      </c>
      <c r="Q2" s="12">
        <v>652230</v>
      </c>
      <c r="R2" s="2">
        <v>63.058700000000002</v>
      </c>
      <c r="S2" s="2">
        <v>1.0257000000000001</v>
      </c>
      <c r="T2" s="4">
        <v>5.1999999999999998E-3</v>
      </c>
    </row>
    <row r="3" spans="1:33" x14ac:dyDescent="0.25">
      <c r="A3" s="2">
        <v>138</v>
      </c>
      <c r="B3" s="2" t="s">
        <v>293</v>
      </c>
      <c r="C3" s="2" t="s">
        <v>294</v>
      </c>
      <c r="D3" s="2" t="str">
        <f>VLOOKUP(C3,[2]world_pop.!$C:$E,3,FALSE)</f>
        <v>Europe</v>
      </c>
      <c r="E3" s="2">
        <v>2842.3209999999999</v>
      </c>
      <c r="F3" s="2">
        <v>2854.71</v>
      </c>
      <c r="G3" s="2">
        <v>2866.8490000000002</v>
      </c>
      <c r="H3" s="2">
        <v>2456.4720000000002</v>
      </c>
      <c r="I3" s="2">
        <v>2789.5990000000002</v>
      </c>
      <c r="J3" s="2">
        <v>2882.4810000000002</v>
      </c>
      <c r="K3" s="2">
        <v>2913.3989999999999</v>
      </c>
      <c r="L3" s="2">
        <v>3182.0210000000002</v>
      </c>
      <c r="M3" s="2">
        <v>3295.0659999999998</v>
      </c>
      <c r="N3" s="2">
        <v>2941.6509999999998</v>
      </c>
      <c r="O3" s="10">
        <v>2324.7310000000002</v>
      </c>
      <c r="P3" s="2">
        <v>28748</v>
      </c>
      <c r="Q3" s="12">
        <v>27400</v>
      </c>
      <c r="R3" s="2">
        <v>103.7343</v>
      </c>
      <c r="S3" s="2">
        <v>0.99570000000000003</v>
      </c>
      <c r="T3" s="4">
        <v>4.0000000000000002E-4</v>
      </c>
    </row>
    <row r="4" spans="1:33" x14ac:dyDescent="0.25">
      <c r="A4" s="2">
        <v>34</v>
      </c>
      <c r="B4" s="2" t="s">
        <v>85</v>
      </c>
      <c r="C4" s="2" t="s">
        <v>86</v>
      </c>
      <c r="D4" s="2" t="str">
        <f>VLOOKUP(C4,[2]world_pop.!$C:$E,3,FALSE)</f>
        <v>Africa</v>
      </c>
      <c r="E4" s="2">
        <v>44903.224999999999</v>
      </c>
      <c r="F4" s="2">
        <v>44177.968999999997</v>
      </c>
      <c r="G4" s="2">
        <v>43451.665999999997</v>
      </c>
      <c r="H4" s="2">
        <v>60001.112999999998</v>
      </c>
      <c r="I4" s="2">
        <v>49787.283000000003</v>
      </c>
      <c r="J4" s="2">
        <v>39543.154000000002</v>
      </c>
      <c r="K4" s="2">
        <v>35856.343999999997</v>
      </c>
      <c r="L4" s="2">
        <v>30774.620999999999</v>
      </c>
      <c r="M4" s="2">
        <v>25518.074000000001</v>
      </c>
      <c r="N4" s="2">
        <v>18739.378000000001</v>
      </c>
      <c r="O4" s="10">
        <v>13795.915000000001</v>
      </c>
      <c r="P4" s="2">
        <v>2381741</v>
      </c>
      <c r="Q4" s="12">
        <v>2381741</v>
      </c>
      <c r="R4" s="2">
        <v>18.853100000000001</v>
      </c>
      <c r="S4" s="2">
        <v>1.0164</v>
      </c>
      <c r="T4" s="4">
        <v>5.5999999999999999E-3</v>
      </c>
      <c r="W4" s="7" t="s">
        <v>491</v>
      </c>
      <c r="X4" t="s">
        <v>508</v>
      </c>
      <c r="Y4" t="s">
        <v>500</v>
      </c>
      <c r="Z4" t="s">
        <v>499</v>
      </c>
      <c r="AA4" t="s">
        <v>498</v>
      </c>
      <c r="AB4" t="s">
        <v>495</v>
      </c>
      <c r="AC4" t="s">
        <v>494</v>
      </c>
      <c r="AD4" t="s">
        <v>497</v>
      </c>
      <c r="AE4" t="s">
        <v>496</v>
      </c>
      <c r="AF4" t="s">
        <v>493</v>
      </c>
    </row>
    <row r="5" spans="1:33" x14ac:dyDescent="0.25">
      <c r="A5" s="2">
        <v>213</v>
      </c>
      <c r="B5" s="2" t="s">
        <v>443</v>
      </c>
      <c r="C5" s="2" t="s">
        <v>444</v>
      </c>
      <c r="D5" s="2" t="str">
        <f>VLOOKUP(C5,[2]world_pop.!$C:$E,3,FALSE)</f>
        <v>Oceania</v>
      </c>
      <c r="E5" s="2">
        <v>44.273000000000003</v>
      </c>
      <c r="F5" s="2">
        <v>45.034999999999997</v>
      </c>
      <c r="G5" s="2">
        <v>46.189</v>
      </c>
      <c r="H5" s="2">
        <v>33.557000000000002</v>
      </c>
      <c r="I5" s="2">
        <v>41.142000000000003</v>
      </c>
      <c r="J5" s="2">
        <v>51.368000000000002</v>
      </c>
      <c r="K5" s="2">
        <v>54.848999999999997</v>
      </c>
      <c r="L5" s="2">
        <v>58.23</v>
      </c>
      <c r="M5" s="2">
        <v>47.817999999999998</v>
      </c>
      <c r="N5" s="2">
        <v>32.886000000000003</v>
      </c>
      <c r="O5" s="10">
        <v>27.074999999999999</v>
      </c>
      <c r="P5" s="2">
        <v>199</v>
      </c>
      <c r="Q5" s="12">
        <v>200</v>
      </c>
      <c r="R5" s="2">
        <v>221.36500000000001</v>
      </c>
      <c r="S5" s="2">
        <v>0.98309999999999997</v>
      </c>
      <c r="T5" s="4">
        <v>0</v>
      </c>
      <c r="W5" s="8" t="s">
        <v>504</v>
      </c>
      <c r="X5" s="6">
        <v>638150.62999999989</v>
      </c>
      <c r="Y5" s="6">
        <v>818946.03200000024</v>
      </c>
      <c r="Z5" s="6">
        <v>1055228.0719999997</v>
      </c>
      <c r="AA5" s="6">
        <v>1201102.442</v>
      </c>
      <c r="AB5" s="6">
        <v>1360671.8130000001</v>
      </c>
      <c r="AC5" s="6">
        <v>1393671.0419999999</v>
      </c>
      <c r="AD5" s="6">
        <v>1710661.4679999999</v>
      </c>
      <c r="AE5" s="6">
        <v>2485131.6660000002</v>
      </c>
      <c r="AF5" s="6">
        <v>1426730.9330000002</v>
      </c>
    </row>
    <row r="6" spans="1:33" x14ac:dyDescent="0.25">
      <c r="A6" s="2">
        <v>203</v>
      </c>
      <c r="B6" s="2" t="s">
        <v>423</v>
      </c>
      <c r="C6" s="2" t="s">
        <v>424</v>
      </c>
      <c r="D6" s="2" t="str">
        <f>VLOOKUP(C6,[2]world_pop.!$C:$E,3,FALSE)</f>
        <v>Europe</v>
      </c>
      <c r="E6" s="2">
        <v>79.823999999999998</v>
      </c>
      <c r="F6" s="2">
        <v>79.034000000000006</v>
      </c>
      <c r="G6" s="2">
        <v>77.7</v>
      </c>
      <c r="H6" s="2">
        <v>80.504000000000005</v>
      </c>
      <c r="I6" s="2">
        <v>81.528000000000006</v>
      </c>
      <c r="J6" s="2">
        <v>71.745999999999995</v>
      </c>
      <c r="K6" s="2">
        <v>71.519000000000005</v>
      </c>
      <c r="L6" s="2">
        <v>66.096999999999994</v>
      </c>
      <c r="M6" s="2">
        <v>53.569000000000003</v>
      </c>
      <c r="N6" s="2">
        <v>35.610999999999997</v>
      </c>
      <c r="O6" s="10">
        <v>19.86</v>
      </c>
      <c r="P6" s="2">
        <v>468</v>
      </c>
      <c r="Q6" s="12">
        <v>470</v>
      </c>
      <c r="R6" s="2">
        <v>169.8383</v>
      </c>
      <c r="S6" s="2">
        <v>1.01</v>
      </c>
      <c r="T6" s="4">
        <v>0</v>
      </c>
      <c r="W6" s="8" t="s">
        <v>502</v>
      </c>
      <c r="X6" s="6">
        <v>3210563.577</v>
      </c>
      <c r="Y6" s="6">
        <v>3735089.6040000012</v>
      </c>
      <c r="Z6" s="6">
        <v>4220041.3270000014</v>
      </c>
      <c r="AA6" s="6">
        <v>4458250.1820000019</v>
      </c>
      <c r="AB6" s="6">
        <v>4663086.5350000001</v>
      </c>
      <c r="AC6" s="6">
        <v>4693331.9749999987</v>
      </c>
      <c r="AD6" s="6">
        <v>4957495.637000001</v>
      </c>
      <c r="AE6" s="6">
        <v>5291555.785000002</v>
      </c>
      <c r="AF6" s="6">
        <v>4721383.2740000002</v>
      </c>
      <c r="AG6" s="6"/>
    </row>
    <row r="7" spans="1:33" x14ac:dyDescent="0.25">
      <c r="A7" s="2">
        <v>42</v>
      </c>
      <c r="B7" s="2" t="s">
        <v>101</v>
      </c>
      <c r="C7" s="2" t="s">
        <v>102</v>
      </c>
      <c r="D7" s="2" t="str">
        <f>VLOOKUP(C7,[2]world_pop.!$C:$E,3,FALSE)</f>
        <v>Africa</v>
      </c>
      <c r="E7" s="2">
        <v>35588.987000000001</v>
      </c>
      <c r="F7" s="2">
        <v>34503.773999999998</v>
      </c>
      <c r="G7" s="2">
        <v>33428.485999999997</v>
      </c>
      <c r="H7" s="2">
        <v>72328.067999999999</v>
      </c>
      <c r="I7" s="2">
        <v>44911.663999999997</v>
      </c>
      <c r="J7" s="2">
        <v>28127.721000000001</v>
      </c>
      <c r="K7" s="2">
        <v>23364.185000000001</v>
      </c>
      <c r="L7" s="2">
        <v>16394.062000000002</v>
      </c>
      <c r="M7" s="2">
        <v>11828.638000000001</v>
      </c>
      <c r="N7" s="2">
        <v>8330.0470000000005</v>
      </c>
      <c r="O7" s="10">
        <v>6029.7</v>
      </c>
      <c r="P7" s="2">
        <v>1246700</v>
      </c>
      <c r="Q7" s="12">
        <v>1246700</v>
      </c>
      <c r="R7" s="2">
        <v>28.546600000000002</v>
      </c>
      <c r="S7" s="2">
        <v>1.0315000000000001</v>
      </c>
      <c r="T7" s="4">
        <v>4.4999999999999997E-3</v>
      </c>
      <c r="W7" s="8" t="s">
        <v>503</v>
      </c>
      <c r="X7" s="6">
        <v>720320.79700000002</v>
      </c>
      <c r="Y7" s="6">
        <v>726093.42299999984</v>
      </c>
      <c r="Z7" s="6">
        <v>735613.9360000001</v>
      </c>
      <c r="AA7" s="6">
        <v>741535.60800000001</v>
      </c>
      <c r="AB7" s="6">
        <v>745792.19799999997</v>
      </c>
      <c r="AC7" s="6">
        <v>744755.94899999991</v>
      </c>
      <c r="AD7" s="6">
        <v>736195.11300000001</v>
      </c>
      <c r="AE7" s="6">
        <v>702729.3550000001</v>
      </c>
      <c r="AF7" s="6">
        <v>743147.53799999994</v>
      </c>
      <c r="AG7" s="6"/>
    </row>
    <row r="8" spans="1:33" x14ac:dyDescent="0.25">
      <c r="A8" s="2">
        <v>224</v>
      </c>
      <c r="B8" s="2" t="s">
        <v>465</v>
      </c>
      <c r="C8" s="2" t="s">
        <v>466</v>
      </c>
      <c r="D8" s="2" t="str">
        <f>VLOOKUP(C8,[2]world_pop.!$C:$E,3,FALSE)</f>
        <v>North America</v>
      </c>
      <c r="E8" s="2">
        <v>15.856999999999999</v>
      </c>
      <c r="F8" s="2">
        <v>15.753</v>
      </c>
      <c r="G8" s="2">
        <v>15.585000000000001</v>
      </c>
      <c r="H8" s="2">
        <v>15.294</v>
      </c>
      <c r="I8" s="2">
        <v>16.055</v>
      </c>
      <c r="J8" s="2">
        <v>14.525</v>
      </c>
      <c r="K8" s="2">
        <v>13.172000000000001</v>
      </c>
      <c r="L8" s="2">
        <v>11.047000000000001</v>
      </c>
      <c r="M8" s="2">
        <v>8.3160000000000007</v>
      </c>
      <c r="N8" s="2">
        <v>6.56</v>
      </c>
      <c r="O8" s="10">
        <v>6.2830000000000004</v>
      </c>
      <c r="P8" s="2">
        <v>91</v>
      </c>
      <c r="Q8" s="12">
        <v>91</v>
      </c>
      <c r="R8" s="2">
        <v>174.2527</v>
      </c>
      <c r="S8" s="2">
        <v>1.0065999999999999</v>
      </c>
      <c r="T8" s="4">
        <v>0</v>
      </c>
      <c r="W8" s="8" t="s">
        <v>506</v>
      </c>
      <c r="X8" s="6">
        <v>421266.42499999999</v>
      </c>
      <c r="Y8" s="6">
        <v>486069.58400000009</v>
      </c>
      <c r="Z8" s="6">
        <v>542720.65099999995</v>
      </c>
      <c r="AA8" s="6">
        <v>570383.85</v>
      </c>
      <c r="AB8" s="6">
        <v>594236.59400000016</v>
      </c>
      <c r="AC8" s="6">
        <v>597096.21700000006</v>
      </c>
      <c r="AD8" s="6">
        <v>630633.14699999988</v>
      </c>
      <c r="AE8" s="6">
        <v>679459.31400000001</v>
      </c>
      <c r="AF8" s="6">
        <v>600296.13599999994</v>
      </c>
      <c r="AG8" s="6"/>
    </row>
    <row r="9" spans="1:33" x14ac:dyDescent="0.25">
      <c r="A9" s="2">
        <v>201</v>
      </c>
      <c r="B9" s="2" t="s">
        <v>419</v>
      </c>
      <c r="C9" s="2" t="s">
        <v>420</v>
      </c>
      <c r="D9" s="2" t="str">
        <f>VLOOKUP(C9,[2]world_pop.!$C:$E,3,FALSE)</f>
        <v>North America</v>
      </c>
      <c r="E9" s="2">
        <v>93.763000000000005</v>
      </c>
      <c r="F9" s="2">
        <v>93.218999999999994</v>
      </c>
      <c r="G9" s="2">
        <v>92.664000000000001</v>
      </c>
      <c r="H9" s="2">
        <v>99.03</v>
      </c>
      <c r="I9" s="2">
        <v>97.51</v>
      </c>
      <c r="J9" s="2">
        <v>89.941000000000003</v>
      </c>
      <c r="K9" s="2">
        <v>85.694999999999993</v>
      </c>
      <c r="L9" s="2">
        <v>75.055000000000007</v>
      </c>
      <c r="M9" s="2">
        <v>63.328000000000003</v>
      </c>
      <c r="N9" s="2">
        <v>64.888999999999996</v>
      </c>
      <c r="O9" s="10">
        <v>64.516999999999996</v>
      </c>
      <c r="P9" s="2">
        <v>442</v>
      </c>
      <c r="Q9" s="12">
        <v>440</v>
      </c>
      <c r="R9" s="2">
        <v>213.0977</v>
      </c>
      <c r="S9" s="2">
        <v>1.0058</v>
      </c>
      <c r="T9" s="4">
        <v>0</v>
      </c>
      <c r="W9" s="8" t="s">
        <v>505</v>
      </c>
      <c r="X9" s="6">
        <v>26743.822000000004</v>
      </c>
      <c r="Y9" s="6">
        <v>31222.777999999998</v>
      </c>
      <c r="Z9" s="6">
        <v>37102.764000000003</v>
      </c>
      <c r="AA9" s="6">
        <v>40403.28300000001</v>
      </c>
      <c r="AB9" s="6">
        <v>43933.425999999985</v>
      </c>
      <c r="AC9" s="6">
        <v>44491.724000000002</v>
      </c>
      <c r="AD9" s="6">
        <v>49212.010000000009</v>
      </c>
      <c r="AE9" s="6">
        <v>57834.465000000011</v>
      </c>
      <c r="AF9" s="6">
        <v>45038.553999999996</v>
      </c>
      <c r="AG9" s="6"/>
    </row>
    <row r="10" spans="1:33" x14ac:dyDescent="0.25">
      <c r="A10" s="2">
        <v>33</v>
      </c>
      <c r="B10" s="2" t="s">
        <v>83</v>
      </c>
      <c r="C10" s="2" t="s">
        <v>84</v>
      </c>
      <c r="D10" s="2" t="str">
        <f>VLOOKUP(C10,[2]world_pop.!$C:$E,3,FALSE)</f>
        <v>South America</v>
      </c>
      <c r="E10" s="2">
        <v>45510.317999999999</v>
      </c>
      <c r="F10" s="2">
        <v>45276.78</v>
      </c>
      <c r="G10" s="2">
        <v>45036.031999999999</v>
      </c>
      <c r="H10" s="2">
        <v>51621.175000000003</v>
      </c>
      <c r="I10" s="2">
        <v>47678.559999999998</v>
      </c>
      <c r="J10" s="2">
        <v>43257.065000000002</v>
      </c>
      <c r="K10" s="2">
        <v>41100.123</v>
      </c>
      <c r="L10" s="2">
        <v>37070.773999999998</v>
      </c>
      <c r="M10" s="2">
        <v>32637.656999999999</v>
      </c>
      <c r="N10" s="2">
        <v>28024.803</v>
      </c>
      <c r="O10" s="10">
        <v>23842.803</v>
      </c>
      <c r="P10" s="2">
        <v>2780400</v>
      </c>
      <c r="Q10" s="12">
        <v>2736690</v>
      </c>
      <c r="R10" s="2">
        <v>16.6297</v>
      </c>
      <c r="S10" s="2">
        <v>1.0052000000000001</v>
      </c>
      <c r="T10" s="4">
        <v>5.7000000000000002E-3</v>
      </c>
      <c r="W10" s="8" t="s">
        <v>507</v>
      </c>
      <c r="X10" s="6">
        <v>297146.41500000004</v>
      </c>
      <c r="Y10" s="6">
        <v>349634.28200000001</v>
      </c>
      <c r="Z10" s="6">
        <v>393078.25</v>
      </c>
      <c r="AA10" s="6">
        <v>413134.39600000007</v>
      </c>
      <c r="AB10" s="6">
        <v>431530.04300000001</v>
      </c>
      <c r="AC10" s="6">
        <v>434254.12</v>
      </c>
      <c r="AD10" s="6">
        <v>460220.27299999993</v>
      </c>
      <c r="AE10" s="6">
        <v>491078.65199999989</v>
      </c>
      <c r="AF10" s="6">
        <v>436816.60799999995</v>
      </c>
      <c r="AG10" s="6"/>
    </row>
    <row r="11" spans="1:33" x14ac:dyDescent="0.25">
      <c r="A11" s="2">
        <v>140</v>
      </c>
      <c r="B11" s="2" t="s">
        <v>297</v>
      </c>
      <c r="C11" s="2" t="s">
        <v>298</v>
      </c>
      <c r="D11" s="2" t="str">
        <f>VLOOKUP(C11,[2]world_pop.!$C:$E,3,FALSE)</f>
        <v>Asia</v>
      </c>
      <c r="E11" s="2">
        <v>2780.4690000000001</v>
      </c>
      <c r="F11" s="2">
        <v>2790.9740000000002</v>
      </c>
      <c r="G11" s="2">
        <v>2805.6080000000002</v>
      </c>
      <c r="H11" s="2">
        <v>2573.4650000000001</v>
      </c>
      <c r="I11" s="2">
        <v>2759.5279999999998</v>
      </c>
      <c r="J11" s="2">
        <v>2878.5949999999998</v>
      </c>
      <c r="K11" s="2">
        <v>2946.2930000000001</v>
      </c>
      <c r="L11" s="2">
        <v>3168.5230000000001</v>
      </c>
      <c r="M11" s="2">
        <v>3556.5390000000002</v>
      </c>
      <c r="N11" s="2">
        <v>3135.123</v>
      </c>
      <c r="O11" s="10">
        <v>2534.377</v>
      </c>
      <c r="P11" s="2">
        <v>29743</v>
      </c>
      <c r="Q11" s="12">
        <v>28470</v>
      </c>
      <c r="R11" s="2">
        <v>97.6631</v>
      </c>
      <c r="S11" s="2">
        <v>0.99619999999999997</v>
      </c>
      <c r="T11" s="4">
        <v>2.9999999999999997E-4</v>
      </c>
      <c r="W11" s="8" t="s">
        <v>492</v>
      </c>
      <c r="X11" s="6">
        <v>5314191.6659999993</v>
      </c>
      <c r="Y11" s="6">
        <v>6147055.7030000007</v>
      </c>
      <c r="Z11" s="6">
        <v>6983785.0000000009</v>
      </c>
      <c r="AA11" s="6">
        <v>7424809.7610000009</v>
      </c>
      <c r="AB11" s="6">
        <v>7839250.6090000002</v>
      </c>
      <c r="AC11" s="6">
        <v>7907601.0269999998</v>
      </c>
      <c r="AD11" s="6">
        <v>8544417.648</v>
      </c>
      <c r="AE11" s="6">
        <v>9707789.2370000016</v>
      </c>
      <c r="AF11" s="6">
        <v>7973413.0429999996</v>
      </c>
      <c r="AG11" s="6"/>
    </row>
    <row r="12" spans="1:33" x14ac:dyDescent="0.25">
      <c r="A12" s="2">
        <v>198</v>
      </c>
      <c r="B12" s="2" t="s">
        <v>413</v>
      </c>
      <c r="C12" s="2" t="s">
        <v>414</v>
      </c>
      <c r="D12" s="2" t="str">
        <f>VLOOKUP(C12,[2]world_pop.!$C:$E,3,FALSE)</f>
        <v>North America</v>
      </c>
      <c r="E12" s="2">
        <v>106.44499999999999</v>
      </c>
      <c r="F12" s="2">
        <v>106.53700000000001</v>
      </c>
      <c r="G12" s="2">
        <v>106.58499999999999</v>
      </c>
      <c r="H12" s="2">
        <v>94.185000000000002</v>
      </c>
      <c r="I12" s="2">
        <v>104.92400000000001</v>
      </c>
      <c r="J12" s="2">
        <v>104.25700000000001</v>
      </c>
      <c r="K12" s="2">
        <v>100.34099999999999</v>
      </c>
      <c r="L12" s="2">
        <v>89.100999999999999</v>
      </c>
      <c r="M12" s="2">
        <v>65.712000000000003</v>
      </c>
      <c r="N12" s="2">
        <v>62.267000000000003</v>
      </c>
      <c r="O12" s="10">
        <v>59.106000000000002</v>
      </c>
      <c r="P12" s="2">
        <v>180</v>
      </c>
      <c r="Q12" s="12">
        <v>180</v>
      </c>
      <c r="R12" s="2">
        <v>591.36109999999996</v>
      </c>
      <c r="S12" s="2">
        <v>0.99909999999999999</v>
      </c>
      <c r="T12" s="4">
        <v>0</v>
      </c>
      <c r="AA12" s="6"/>
      <c r="AB12" s="6"/>
      <c r="AC12" s="6"/>
      <c r="AD12" s="6"/>
      <c r="AE12" s="6"/>
      <c r="AF12" s="6"/>
      <c r="AG12" s="6"/>
    </row>
    <row r="13" spans="1:33" x14ac:dyDescent="0.25">
      <c r="A13" s="2">
        <v>55</v>
      </c>
      <c r="B13" s="2" t="s">
        <v>127</v>
      </c>
      <c r="C13" s="2" t="s">
        <v>128</v>
      </c>
      <c r="D13" s="2" t="str">
        <f>VLOOKUP(C13,[2]world_pop.!$C:$E,3,FALSE)</f>
        <v>Oceania</v>
      </c>
      <c r="E13" s="2">
        <v>26177.413</v>
      </c>
      <c r="F13" s="2">
        <v>25921.089</v>
      </c>
      <c r="G13" s="2">
        <v>25670.050999999999</v>
      </c>
      <c r="H13" s="2">
        <v>32192.919000000002</v>
      </c>
      <c r="I13" s="2">
        <v>28202.414000000001</v>
      </c>
      <c r="J13" s="2">
        <v>23820.236000000001</v>
      </c>
      <c r="K13" s="2">
        <v>22019.168000000001</v>
      </c>
      <c r="L13" s="2">
        <v>19017.963</v>
      </c>
      <c r="M13" s="2">
        <v>17048.003000000001</v>
      </c>
      <c r="N13" s="2">
        <v>14706.322</v>
      </c>
      <c r="O13" s="10">
        <v>12595.034</v>
      </c>
      <c r="P13" s="2">
        <v>7692024</v>
      </c>
      <c r="Q13" s="12">
        <v>7692020</v>
      </c>
      <c r="R13" s="2">
        <v>3.4032</v>
      </c>
      <c r="S13" s="2">
        <v>1.0099</v>
      </c>
      <c r="T13" s="4">
        <v>3.3E-3</v>
      </c>
      <c r="AA13" s="6"/>
      <c r="AB13" s="6"/>
      <c r="AC13" s="6"/>
      <c r="AD13" s="6"/>
      <c r="AE13" s="6"/>
      <c r="AF13" s="6"/>
      <c r="AG13" s="6"/>
    </row>
    <row r="14" spans="1:33" x14ac:dyDescent="0.25">
      <c r="A14" s="2">
        <v>99</v>
      </c>
      <c r="B14" s="2" t="s">
        <v>215</v>
      </c>
      <c r="C14" s="2" t="s">
        <v>216</v>
      </c>
      <c r="D14" s="2" t="str">
        <f>VLOOKUP(C14,[2]world_pop.!$C:$E,3,FALSE)</f>
        <v>Europe</v>
      </c>
      <c r="E14" s="2">
        <v>8939.6170000000002</v>
      </c>
      <c r="F14" s="2">
        <v>8922.0820000000003</v>
      </c>
      <c r="G14" s="2">
        <v>8907.777</v>
      </c>
      <c r="H14" s="2">
        <v>8924.19</v>
      </c>
      <c r="I14" s="2">
        <v>9054.5759999999991</v>
      </c>
      <c r="J14" s="2">
        <v>8642.4210000000003</v>
      </c>
      <c r="K14" s="2">
        <v>8362.8289999999997</v>
      </c>
      <c r="L14" s="2">
        <v>8010.4279999999999</v>
      </c>
      <c r="M14" s="2">
        <v>7678.7290000000003</v>
      </c>
      <c r="N14" s="2">
        <v>7547.5609999999997</v>
      </c>
      <c r="O14" s="10">
        <v>7465.3010000000004</v>
      </c>
      <c r="P14" s="2">
        <v>83871</v>
      </c>
      <c r="Q14" s="12">
        <v>82520</v>
      </c>
      <c r="R14" s="2">
        <v>108.3327</v>
      </c>
      <c r="S14" s="2">
        <v>1.002</v>
      </c>
      <c r="T14" s="4">
        <v>1.1000000000000001E-3</v>
      </c>
      <c r="AA14" s="6"/>
      <c r="AB14" s="6"/>
      <c r="AC14" s="6"/>
      <c r="AD14" s="6"/>
      <c r="AE14" s="6"/>
      <c r="AF14" s="6"/>
      <c r="AG14" s="6"/>
    </row>
    <row r="15" spans="1:33" x14ac:dyDescent="0.25">
      <c r="A15" s="2">
        <v>91</v>
      </c>
      <c r="B15" s="2" t="s">
        <v>199</v>
      </c>
      <c r="C15" s="2" t="s">
        <v>200</v>
      </c>
      <c r="D15" s="2" t="str">
        <f>VLOOKUP(C15,[2]world_pop.!$C:$E,3,FALSE)</f>
        <v>Asia</v>
      </c>
      <c r="E15" s="2">
        <v>10358.074000000001</v>
      </c>
      <c r="F15" s="2">
        <v>10312.992</v>
      </c>
      <c r="G15" s="2">
        <v>10284.950999999999</v>
      </c>
      <c r="H15" s="2">
        <v>10867.296</v>
      </c>
      <c r="I15" s="2">
        <v>10711.138000000001</v>
      </c>
      <c r="J15" s="2">
        <v>9863.48</v>
      </c>
      <c r="K15" s="2">
        <v>9237.2019999999993</v>
      </c>
      <c r="L15" s="2">
        <v>8190.3370000000004</v>
      </c>
      <c r="M15" s="2">
        <v>7427.8360000000002</v>
      </c>
      <c r="N15" s="2">
        <v>6383.06</v>
      </c>
      <c r="O15" s="10">
        <v>5425.317</v>
      </c>
      <c r="P15" s="2">
        <v>86600</v>
      </c>
      <c r="Q15" s="12">
        <v>82646</v>
      </c>
      <c r="R15" s="2">
        <v>125.3306</v>
      </c>
      <c r="S15" s="2">
        <v>1.0044</v>
      </c>
      <c r="T15" s="4">
        <v>1.2999999999999999E-3</v>
      </c>
      <c r="AA15" s="6"/>
      <c r="AB15" s="6"/>
      <c r="AC15" s="6"/>
      <c r="AD15" s="6"/>
      <c r="AE15" s="6"/>
      <c r="AF15" s="6"/>
      <c r="AG15" s="6"/>
    </row>
    <row r="16" spans="1:33" x14ac:dyDescent="0.25">
      <c r="A16" s="2">
        <v>176</v>
      </c>
      <c r="B16" s="2" t="s">
        <v>369</v>
      </c>
      <c r="C16" s="2" t="s">
        <v>370</v>
      </c>
      <c r="D16" s="2" t="str">
        <f>VLOOKUP(C16,[2]world_pop.!$C:$E,3,FALSE)</f>
        <v>North America</v>
      </c>
      <c r="E16" s="2">
        <v>409.98399999999998</v>
      </c>
      <c r="F16" s="2">
        <v>407.90600000000001</v>
      </c>
      <c r="G16" s="2">
        <v>406.471</v>
      </c>
      <c r="H16" s="2">
        <v>450.625</v>
      </c>
      <c r="I16" s="2">
        <v>429.846</v>
      </c>
      <c r="J16" s="2">
        <v>392.697</v>
      </c>
      <c r="K16" s="2">
        <v>373.27199999999999</v>
      </c>
      <c r="L16" s="2">
        <v>325.01400000000001</v>
      </c>
      <c r="M16" s="2">
        <v>270.67899999999997</v>
      </c>
      <c r="N16" s="2">
        <v>223.75200000000001</v>
      </c>
      <c r="O16" s="10">
        <v>179.12899999999999</v>
      </c>
      <c r="P16" s="2">
        <v>13943</v>
      </c>
      <c r="Q16" s="12">
        <v>10010</v>
      </c>
      <c r="R16" s="2">
        <v>40.9574</v>
      </c>
      <c r="S16" s="2">
        <v>1.0051000000000001</v>
      </c>
      <c r="T16" s="4">
        <v>1E-4</v>
      </c>
      <c r="AA16" s="6"/>
      <c r="AB16" s="6"/>
      <c r="AC16" s="6"/>
      <c r="AD16" s="6"/>
      <c r="AE16" s="6"/>
      <c r="AF16" s="6"/>
      <c r="AG16" s="6"/>
    </row>
    <row r="17" spans="1:33" x14ac:dyDescent="0.25">
      <c r="A17" s="2">
        <v>154</v>
      </c>
      <c r="B17" s="2" t="s">
        <v>325</v>
      </c>
      <c r="C17" s="2" t="s">
        <v>326</v>
      </c>
      <c r="D17" s="2" t="str">
        <f>VLOOKUP(C17,[2]world_pop.!$C:$E,3,FALSE)</f>
        <v>Asia</v>
      </c>
      <c r="E17" s="2">
        <v>1472.2329999999999</v>
      </c>
      <c r="F17" s="2">
        <v>1463.2650000000001</v>
      </c>
      <c r="G17" s="2">
        <v>1477.4690000000001</v>
      </c>
      <c r="H17" s="2">
        <v>1809.2370000000001</v>
      </c>
      <c r="I17" s="2">
        <v>1574.6790000000001</v>
      </c>
      <c r="J17" s="2">
        <v>1362.1420000000001</v>
      </c>
      <c r="K17" s="2">
        <v>1213.645</v>
      </c>
      <c r="L17" s="2">
        <v>711.44200000000001</v>
      </c>
      <c r="M17" s="2">
        <v>517.41800000000001</v>
      </c>
      <c r="N17" s="2">
        <v>362.59500000000003</v>
      </c>
      <c r="O17" s="10">
        <v>222.55500000000001</v>
      </c>
      <c r="P17" s="2">
        <v>765</v>
      </c>
      <c r="Q17" s="12">
        <v>785</v>
      </c>
      <c r="R17" s="2">
        <v>1875.4561000000001</v>
      </c>
      <c r="S17" s="2">
        <v>1.0061</v>
      </c>
      <c r="T17" s="4">
        <v>2.0000000000000001E-4</v>
      </c>
      <c r="AA17" s="6"/>
      <c r="AB17" s="6"/>
      <c r="AC17" s="6"/>
      <c r="AD17" s="6"/>
      <c r="AE17" s="6"/>
      <c r="AF17" s="6"/>
      <c r="AG17" s="6"/>
    </row>
    <row r="18" spans="1:33" x14ac:dyDescent="0.25">
      <c r="A18" s="2">
        <v>8</v>
      </c>
      <c r="B18" s="2" t="s">
        <v>33</v>
      </c>
      <c r="C18" s="2" t="s">
        <v>34</v>
      </c>
      <c r="D18" s="2" t="str">
        <f>VLOOKUP(C18,[2]world_pop.!$C:$E,3,FALSE)</f>
        <v>Asia</v>
      </c>
      <c r="E18" s="2">
        <v>171186.372</v>
      </c>
      <c r="F18" s="2">
        <v>169356.25099999999</v>
      </c>
      <c r="G18" s="2">
        <v>167420.951</v>
      </c>
      <c r="H18" s="2">
        <v>203904.9</v>
      </c>
      <c r="I18" s="2">
        <v>184424.144</v>
      </c>
      <c r="J18" s="2">
        <v>157830</v>
      </c>
      <c r="K18" s="2">
        <v>148391.139</v>
      </c>
      <c r="L18" s="2">
        <v>129193.327</v>
      </c>
      <c r="M18" s="2">
        <v>107147.651</v>
      </c>
      <c r="N18" s="2">
        <v>83929.764999999999</v>
      </c>
      <c r="O18" s="10">
        <v>67541.86</v>
      </c>
      <c r="P18" s="2">
        <v>147570</v>
      </c>
      <c r="Q18" s="12">
        <v>130170</v>
      </c>
      <c r="R18" s="2">
        <v>1315.0985000000001</v>
      </c>
      <c r="S18" s="2">
        <v>1.0107999999999999</v>
      </c>
      <c r="T18" s="4">
        <v>2.1499999999999998E-2</v>
      </c>
      <c r="W18" s="7" t="s">
        <v>1</v>
      </c>
      <c r="X18" t="s">
        <v>496</v>
      </c>
      <c r="Y18" t="s">
        <v>497</v>
      </c>
      <c r="Z18" t="s">
        <v>493</v>
      </c>
      <c r="AA18" t="s">
        <v>494</v>
      </c>
      <c r="AB18" t="s">
        <v>498</v>
      </c>
      <c r="AC18" t="s">
        <v>499</v>
      </c>
    </row>
    <row r="19" spans="1:33" x14ac:dyDescent="0.25">
      <c r="A19" s="2">
        <v>186</v>
      </c>
      <c r="B19" s="2" t="s">
        <v>389</v>
      </c>
      <c r="C19" s="2" t="s">
        <v>390</v>
      </c>
      <c r="D19" s="2" t="str">
        <f>VLOOKUP(C19,[2]world_pop.!$C:$E,3,FALSE)</f>
        <v>North America</v>
      </c>
      <c r="E19" s="2">
        <v>281.63499999999999</v>
      </c>
      <c r="F19" s="2">
        <v>281.2</v>
      </c>
      <c r="G19" s="2">
        <v>280.69299999999998</v>
      </c>
      <c r="H19" s="2">
        <v>267.78800000000001</v>
      </c>
      <c r="I19" s="2">
        <v>283.08199999999999</v>
      </c>
      <c r="J19" s="2">
        <v>278.08300000000003</v>
      </c>
      <c r="K19" s="2">
        <v>274.71100000000001</v>
      </c>
      <c r="L19" s="2">
        <v>264.65699999999998</v>
      </c>
      <c r="M19" s="2">
        <v>258.86799999999999</v>
      </c>
      <c r="N19" s="2">
        <v>253.57499999999999</v>
      </c>
      <c r="O19" s="10">
        <v>241.39699999999999</v>
      </c>
      <c r="P19" s="2">
        <v>430</v>
      </c>
      <c r="Q19" s="12">
        <v>430</v>
      </c>
      <c r="R19" s="2">
        <v>654.96510000000001</v>
      </c>
      <c r="S19" s="2">
        <v>1.0015000000000001</v>
      </c>
      <c r="T19" s="4">
        <v>0</v>
      </c>
      <c r="W19" t="s">
        <v>90</v>
      </c>
      <c r="X19" s="6">
        <v>74075.233999999997</v>
      </c>
      <c r="Y19" s="6">
        <v>50330.837</v>
      </c>
      <c r="Z19" s="6">
        <v>41128.771000000001</v>
      </c>
      <c r="AA19" s="6">
        <v>40099.462</v>
      </c>
      <c r="AB19" s="6">
        <v>33753.499000000003</v>
      </c>
      <c r="AC19" s="6">
        <v>28189.671999999999</v>
      </c>
    </row>
    <row r="20" spans="1:33" x14ac:dyDescent="0.25">
      <c r="A20" s="2">
        <v>96</v>
      </c>
      <c r="B20" s="2" t="s">
        <v>209</v>
      </c>
      <c r="C20" s="2" t="s">
        <v>210</v>
      </c>
      <c r="D20" s="2" t="str">
        <f>VLOOKUP(C20,[2]world_pop.!$C:$E,3,FALSE)</f>
        <v>Europe</v>
      </c>
      <c r="E20" s="2">
        <v>9534.9539999999997</v>
      </c>
      <c r="F20" s="2">
        <v>9578.1669999999995</v>
      </c>
      <c r="G20" s="2">
        <v>9633.74</v>
      </c>
      <c r="H20" s="2">
        <v>8409.6319999999996</v>
      </c>
      <c r="I20" s="2">
        <v>9206.17</v>
      </c>
      <c r="J20" s="2">
        <v>9700.6090000000004</v>
      </c>
      <c r="K20" s="2">
        <v>9731.4269999999997</v>
      </c>
      <c r="L20" s="2">
        <v>10256.483</v>
      </c>
      <c r="M20" s="2">
        <v>10428.525</v>
      </c>
      <c r="N20" s="2">
        <v>9817.2569999999996</v>
      </c>
      <c r="O20" s="10">
        <v>9170.7860000000001</v>
      </c>
      <c r="P20" s="2">
        <v>207600</v>
      </c>
      <c r="Q20" s="12">
        <v>202980</v>
      </c>
      <c r="R20" s="2">
        <v>46.974800000000002</v>
      </c>
      <c r="S20" s="2">
        <v>0.99550000000000005</v>
      </c>
      <c r="T20" s="4">
        <v>1.1999999999999999E-3</v>
      </c>
      <c r="W20" t="s">
        <v>294</v>
      </c>
      <c r="X20" s="6">
        <v>2456.4720000000002</v>
      </c>
      <c r="Y20" s="6">
        <v>2789.5990000000002</v>
      </c>
      <c r="Z20" s="6">
        <v>2842.3209999999999</v>
      </c>
      <c r="AA20" s="6">
        <v>2854.71</v>
      </c>
      <c r="AB20" s="6">
        <v>2882.4810000000002</v>
      </c>
      <c r="AC20" s="6">
        <v>2913.3989999999999</v>
      </c>
    </row>
    <row r="21" spans="1:33" x14ac:dyDescent="0.25">
      <c r="A21" s="2">
        <v>81</v>
      </c>
      <c r="B21" s="2" t="s">
        <v>179</v>
      </c>
      <c r="C21" s="2" t="s">
        <v>180</v>
      </c>
      <c r="D21" s="2" t="str">
        <f>VLOOKUP(C21,[2]world_pop.!$C:$E,3,FALSE)</f>
        <v>Europe</v>
      </c>
      <c r="E21" s="2">
        <v>11655.93</v>
      </c>
      <c r="F21" s="2">
        <v>11611.419</v>
      </c>
      <c r="G21" s="2">
        <v>11561.717000000001</v>
      </c>
      <c r="H21" s="2">
        <v>12090.656999999999</v>
      </c>
      <c r="I21" s="2">
        <v>11873.46</v>
      </c>
      <c r="J21" s="2">
        <v>11248.303</v>
      </c>
      <c r="K21" s="2">
        <v>10877.947</v>
      </c>
      <c r="L21" s="2">
        <v>10264.343000000001</v>
      </c>
      <c r="M21" s="2">
        <v>9959.56</v>
      </c>
      <c r="N21" s="2">
        <v>9828.9860000000008</v>
      </c>
      <c r="O21" s="10">
        <v>9629.3760000000002</v>
      </c>
      <c r="P21" s="2">
        <v>30528</v>
      </c>
      <c r="Q21" s="12">
        <v>30280</v>
      </c>
      <c r="R21" s="2">
        <v>384.93819999999999</v>
      </c>
      <c r="S21" s="2">
        <v>1.0038</v>
      </c>
      <c r="T21" s="4">
        <v>1.5E-3</v>
      </c>
      <c r="W21" t="s">
        <v>86</v>
      </c>
      <c r="X21" s="6">
        <v>60001.112999999998</v>
      </c>
      <c r="Y21" s="6">
        <v>49787.283000000003</v>
      </c>
      <c r="Z21" s="6">
        <v>44903.224999999999</v>
      </c>
      <c r="AA21" s="6">
        <v>44177.968999999997</v>
      </c>
      <c r="AB21" s="6">
        <v>39543.154000000002</v>
      </c>
      <c r="AC21" s="6">
        <v>35856.343999999997</v>
      </c>
    </row>
    <row r="22" spans="1:33" x14ac:dyDescent="0.25">
      <c r="A22" s="2">
        <v>177</v>
      </c>
      <c r="B22" s="2" t="s">
        <v>371</v>
      </c>
      <c r="C22" s="2" t="s">
        <v>372</v>
      </c>
      <c r="D22" s="2" t="str">
        <f>VLOOKUP(C22,[2]world_pop.!$C:$E,3,FALSE)</f>
        <v>North America</v>
      </c>
      <c r="E22" s="2">
        <v>405.27199999999999</v>
      </c>
      <c r="F22" s="2">
        <v>400.03100000000001</v>
      </c>
      <c r="G22" s="2">
        <v>394.92099999999999</v>
      </c>
      <c r="H22" s="2">
        <v>538.83799999999997</v>
      </c>
      <c r="I22" s="2">
        <v>450.428</v>
      </c>
      <c r="J22" s="2">
        <v>359.87099999999998</v>
      </c>
      <c r="K22" s="2">
        <v>322.10599999999999</v>
      </c>
      <c r="L22" s="2">
        <v>240.40600000000001</v>
      </c>
      <c r="M22" s="2">
        <v>182.589</v>
      </c>
      <c r="N22" s="2">
        <v>145.13300000000001</v>
      </c>
      <c r="O22" s="10">
        <v>120.905</v>
      </c>
      <c r="P22" s="2">
        <v>22966</v>
      </c>
      <c r="Q22" s="12">
        <v>22810</v>
      </c>
      <c r="R22" s="2">
        <v>17.767299999999999</v>
      </c>
      <c r="S22" s="2">
        <v>1.0130999999999999</v>
      </c>
      <c r="T22" s="4">
        <v>1E-4</v>
      </c>
      <c r="W22" t="s">
        <v>444</v>
      </c>
      <c r="X22" s="6">
        <v>33.557000000000002</v>
      </c>
      <c r="Y22" s="6">
        <v>41.142000000000003</v>
      </c>
      <c r="Z22" s="6">
        <v>44.273000000000003</v>
      </c>
      <c r="AA22" s="6">
        <v>45.034999999999997</v>
      </c>
      <c r="AB22" s="6">
        <v>51.368000000000002</v>
      </c>
      <c r="AC22" s="6">
        <v>54.848999999999997</v>
      </c>
    </row>
    <row r="23" spans="1:33" x14ac:dyDescent="0.25">
      <c r="A23" s="2">
        <v>77</v>
      </c>
      <c r="B23" s="2" t="s">
        <v>171</v>
      </c>
      <c r="C23" s="2" t="s">
        <v>172</v>
      </c>
      <c r="D23" s="2" t="str">
        <f>VLOOKUP(C23,[2]world_pop.!$C:$E,3,FALSE)</f>
        <v>Africa</v>
      </c>
      <c r="E23" s="2">
        <v>13352.864</v>
      </c>
      <c r="F23" s="2">
        <v>12996.895</v>
      </c>
      <c r="G23" s="2">
        <v>12643.123</v>
      </c>
      <c r="H23" s="2">
        <v>25264.035</v>
      </c>
      <c r="I23" s="2">
        <v>16393.827000000001</v>
      </c>
      <c r="J23" s="2">
        <v>10932.782999999999</v>
      </c>
      <c r="K23" s="2">
        <v>9445.7099999999991</v>
      </c>
      <c r="L23" s="2">
        <v>6998.0230000000001</v>
      </c>
      <c r="M23" s="2">
        <v>5133.4189999999999</v>
      </c>
      <c r="N23" s="2">
        <v>3833.9389999999999</v>
      </c>
      <c r="O23" s="10">
        <v>3023.4430000000002</v>
      </c>
      <c r="P23" s="2">
        <v>112622</v>
      </c>
      <c r="Q23" s="12">
        <v>112760</v>
      </c>
      <c r="R23" s="2">
        <v>118.41840000000001</v>
      </c>
      <c r="S23" s="2">
        <v>1.0274000000000001</v>
      </c>
      <c r="T23" s="4">
        <v>1.6999999999999999E-3</v>
      </c>
      <c r="W23" t="s">
        <v>424</v>
      </c>
      <c r="X23" s="6">
        <v>80.504000000000005</v>
      </c>
      <c r="Y23" s="6">
        <v>81.528000000000006</v>
      </c>
      <c r="Z23" s="6">
        <v>79.823999999999998</v>
      </c>
      <c r="AA23" s="6">
        <v>79.034000000000006</v>
      </c>
      <c r="AB23" s="6">
        <v>71.745999999999995</v>
      </c>
      <c r="AC23" s="6">
        <v>71.519000000000005</v>
      </c>
    </row>
    <row r="24" spans="1:33" x14ac:dyDescent="0.25">
      <c r="A24" s="2">
        <v>206</v>
      </c>
      <c r="B24" s="2" t="s">
        <v>429</v>
      </c>
      <c r="C24" s="2" t="s">
        <v>430</v>
      </c>
      <c r="D24" s="2" t="str">
        <f>VLOOKUP(C24,[2]world_pop.!$C:$E,3,FALSE)</f>
        <v>North America</v>
      </c>
      <c r="E24" s="2">
        <v>64.183999999999997</v>
      </c>
      <c r="F24" s="2">
        <v>64.185000000000002</v>
      </c>
      <c r="G24" s="2">
        <v>64.031000000000006</v>
      </c>
      <c r="H24" s="2">
        <v>56.040999999999997</v>
      </c>
      <c r="I24" s="2">
        <v>62.805999999999997</v>
      </c>
      <c r="J24" s="2">
        <v>63.143999999999998</v>
      </c>
      <c r="K24" s="2">
        <v>63.447000000000003</v>
      </c>
      <c r="L24" s="2">
        <v>61.371000000000002</v>
      </c>
      <c r="M24" s="2">
        <v>57.47</v>
      </c>
      <c r="N24" s="2">
        <v>53.564999999999998</v>
      </c>
      <c r="O24" s="10">
        <v>52.018999999999998</v>
      </c>
      <c r="P24" s="2">
        <v>54</v>
      </c>
      <c r="Q24" s="12">
        <v>54</v>
      </c>
      <c r="R24" s="2">
        <v>1188.5925999999999</v>
      </c>
      <c r="S24" s="2">
        <v>1</v>
      </c>
      <c r="T24" s="4">
        <v>0</v>
      </c>
      <c r="W24" t="s">
        <v>102</v>
      </c>
      <c r="X24" s="6">
        <v>72328.067999999999</v>
      </c>
      <c r="Y24" s="6">
        <v>44911.663999999997</v>
      </c>
      <c r="Z24" s="6">
        <v>35588.987000000001</v>
      </c>
      <c r="AA24" s="6">
        <v>34503.773999999998</v>
      </c>
      <c r="AB24" s="6">
        <v>28127.721000000001</v>
      </c>
      <c r="AC24" s="6">
        <v>23364.185000000001</v>
      </c>
    </row>
    <row r="25" spans="1:33" x14ac:dyDescent="0.25">
      <c r="A25" s="2">
        <v>165</v>
      </c>
      <c r="B25" s="2" t="s">
        <v>347</v>
      </c>
      <c r="C25" s="2" t="s">
        <v>348</v>
      </c>
      <c r="D25" s="2" t="str">
        <f>VLOOKUP(C25,[2]world_pop.!$C:$E,3,FALSE)</f>
        <v>Asia</v>
      </c>
      <c r="E25" s="2">
        <v>782.45500000000004</v>
      </c>
      <c r="F25" s="2">
        <v>777.48599999999999</v>
      </c>
      <c r="G25" s="2">
        <v>772.50599999999997</v>
      </c>
      <c r="H25" s="2">
        <v>874.29399999999998</v>
      </c>
      <c r="I25" s="2">
        <v>821.49800000000005</v>
      </c>
      <c r="J25" s="2">
        <v>743.274</v>
      </c>
      <c r="K25" s="2">
        <v>705.51599999999996</v>
      </c>
      <c r="L25" s="2">
        <v>587.20699999999999</v>
      </c>
      <c r="M25" s="2">
        <v>558.44200000000001</v>
      </c>
      <c r="N25" s="2">
        <v>415.25700000000001</v>
      </c>
      <c r="O25" s="10">
        <v>298.89400000000001</v>
      </c>
      <c r="P25" s="2">
        <v>38394</v>
      </c>
      <c r="Q25" s="12">
        <v>38140</v>
      </c>
      <c r="R25" s="2">
        <v>20.5153</v>
      </c>
      <c r="S25" s="2">
        <v>1.0064</v>
      </c>
      <c r="T25" s="4">
        <v>1E-4</v>
      </c>
      <c r="W25" t="s">
        <v>466</v>
      </c>
      <c r="X25" s="6">
        <v>15.294</v>
      </c>
      <c r="Y25" s="6">
        <v>16.055</v>
      </c>
      <c r="Z25" s="6">
        <v>15.856999999999999</v>
      </c>
      <c r="AA25" s="6">
        <v>15.753</v>
      </c>
      <c r="AB25" s="6">
        <v>14.525</v>
      </c>
      <c r="AC25" s="6">
        <v>13.172000000000001</v>
      </c>
    </row>
    <row r="26" spans="1:33" x14ac:dyDescent="0.25">
      <c r="A26" s="2">
        <v>80</v>
      </c>
      <c r="B26" s="2" t="s">
        <v>177</v>
      </c>
      <c r="C26" s="2" t="s">
        <v>178</v>
      </c>
      <c r="D26" s="2" t="str">
        <f>VLOOKUP(C26,[2]world_pop.!$C:$E,3,FALSE)</f>
        <v>South America</v>
      </c>
      <c r="E26" s="2">
        <v>12224.11</v>
      </c>
      <c r="F26" s="2">
        <v>12079.472</v>
      </c>
      <c r="G26" s="2">
        <v>11936.162</v>
      </c>
      <c r="H26" s="2">
        <v>16609.853999999999</v>
      </c>
      <c r="I26" s="2">
        <v>13625.507</v>
      </c>
      <c r="J26" s="2">
        <v>11090.084999999999</v>
      </c>
      <c r="K26" s="2">
        <v>10223.27</v>
      </c>
      <c r="L26" s="2">
        <v>8592.6560000000009</v>
      </c>
      <c r="M26" s="2">
        <v>7096.1940000000004</v>
      </c>
      <c r="N26" s="2">
        <v>5736.0879999999997</v>
      </c>
      <c r="O26" s="10">
        <v>4585.6930000000002</v>
      </c>
      <c r="P26" s="2">
        <v>1098581</v>
      </c>
      <c r="Q26" s="12">
        <v>1083300</v>
      </c>
      <c r="R26" s="2">
        <v>11.2841</v>
      </c>
      <c r="S26" s="2">
        <v>1.012</v>
      </c>
      <c r="T26" s="4">
        <v>1.5E-3</v>
      </c>
      <c r="W26" t="s">
        <v>420</v>
      </c>
      <c r="X26" s="6">
        <v>99.03</v>
      </c>
      <c r="Y26" s="6">
        <v>97.51</v>
      </c>
      <c r="Z26" s="6">
        <v>93.763000000000005</v>
      </c>
      <c r="AA26" s="6">
        <v>93.218999999999994</v>
      </c>
      <c r="AB26" s="6">
        <v>89.941000000000003</v>
      </c>
      <c r="AC26" s="6">
        <v>85.694999999999993</v>
      </c>
    </row>
    <row r="27" spans="1:33" x14ac:dyDescent="0.25">
      <c r="A27" s="2">
        <v>137</v>
      </c>
      <c r="B27" s="2" t="s">
        <v>291</v>
      </c>
      <c r="C27" s="2" t="s">
        <v>292</v>
      </c>
      <c r="D27" s="2" t="str">
        <f>VLOOKUP(C27,[2]world_pop.!$C:$E,3,FALSE)</f>
        <v>Europe</v>
      </c>
      <c r="E27" s="2">
        <v>3233.5259999999998</v>
      </c>
      <c r="F27" s="2">
        <v>3270.9430000000002</v>
      </c>
      <c r="G27" s="2">
        <v>3318.4070000000002</v>
      </c>
      <c r="H27" s="2">
        <v>2739.0140000000001</v>
      </c>
      <c r="I27" s="2">
        <v>3111.7890000000002</v>
      </c>
      <c r="J27" s="2">
        <v>3524.3240000000001</v>
      </c>
      <c r="K27" s="2">
        <v>3811.0880000000002</v>
      </c>
      <c r="L27" s="2">
        <v>4179.3500000000004</v>
      </c>
      <c r="M27" s="2">
        <v>4494.3100000000004</v>
      </c>
      <c r="N27" s="2">
        <v>4199.82</v>
      </c>
      <c r="O27" s="10">
        <v>3815.5610000000001</v>
      </c>
      <c r="P27" s="2">
        <v>51209</v>
      </c>
      <c r="Q27" s="12">
        <v>51200</v>
      </c>
      <c r="R27" s="2">
        <v>63.154800000000002</v>
      </c>
      <c r="S27" s="2">
        <v>0.98860000000000003</v>
      </c>
      <c r="T27" s="4">
        <v>4.0000000000000002E-4</v>
      </c>
      <c r="W27" t="s">
        <v>84</v>
      </c>
      <c r="X27" s="6">
        <v>51621.175000000003</v>
      </c>
      <c r="Y27" s="6">
        <v>47678.559999999998</v>
      </c>
      <c r="Z27" s="6">
        <v>45510.317999999999</v>
      </c>
      <c r="AA27" s="6">
        <v>45276.78</v>
      </c>
      <c r="AB27" s="6">
        <v>43257.065000000002</v>
      </c>
      <c r="AC27" s="6">
        <v>41100.123</v>
      </c>
    </row>
    <row r="28" spans="1:33" x14ac:dyDescent="0.25">
      <c r="A28" s="2">
        <v>144</v>
      </c>
      <c r="B28" s="2" t="s">
        <v>305</v>
      </c>
      <c r="C28" s="2" t="s">
        <v>306</v>
      </c>
      <c r="D28" s="2" t="str">
        <f>VLOOKUP(C28,[2]world_pop.!$C:$E,3,FALSE)</f>
        <v>Africa</v>
      </c>
      <c r="E28" s="2">
        <v>2630.2959999999998</v>
      </c>
      <c r="F28" s="2">
        <v>2588.4229999999998</v>
      </c>
      <c r="G28" s="2">
        <v>2546.402</v>
      </c>
      <c r="H28" s="2">
        <v>3679.34</v>
      </c>
      <c r="I28" s="2">
        <v>2972.2710000000002</v>
      </c>
      <c r="J28" s="2">
        <v>2305.1709999999998</v>
      </c>
      <c r="K28" s="2">
        <v>2091.6640000000002</v>
      </c>
      <c r="L28" s="2">
        <v>1726.9849999999999</v>
      </c>
      <c r="M28" s="2">
        <v>1341.4739999999999</v>
      </c>
      <c r="N28" s="2">
        <v>938.57799999999997</v>
      </c>
      <c r="O28" s="10">
        <v>592.24400000000003</v>
      </c>
      <c r="P28" s="2">
        <v>582000</v>
      </c>
      <c r="Q28" s="12">
        <v>566730</v>
      </c>
      <c r="R28" s="2">
        <v>4.6412000000000004</v>
      </c>
      <c r="S28" s="2">
        <v>1.0162</v>
      </c>
      <c r="T28" s="4">
        <v>2.9999999999999997E-4</v>
      </c>
      <c r="W28" t="s">
        <v>298</v>
      </c>
      <c r="X28" s="6">
        <v>2573.4650000000001</v>
      </c>
      <c r="Y28" s="6">
        <v>2759.5279999999998</v>
      </c>
      <c r="Z28" s="6">
        <v>2780.4690000000001</v>
      </c>
      <c r="AA28" s="6">
        <v>2790.9740000000002</v>
      </c>
      <c r="AB28" s="6">
        <v>2878.5949999999998</v>
      </c>
      <c r="AC28" s="6">
        <v>2946.2930000000001</v>
      </c>
    </row>
    <row r="29" spans="1:33" x14ac:dyDescent="0.25">
      <c r="A29" s="2">
        <v>7</v>
      </c>
      <c r="B29" s="2" t="s">
        <v>31</v>
      </c>
      <c r="C29" s="2" t="s">
        <v>32</v>
      </c>
      <c r="D29" s="2" t="str">
        <f>VLOOKUP(C29,[2]world_pop.!$C:$E,3,FALSE)</f>
        <v>South America</v>
      </c>
      <c r="E29" s="2">
        <v>215313.49799999999</v>
      </c>
      <c r="F29" s="2">
        <v>214326.223</v>
      </c>
      <c r="G29" s="2">
        <v>213196.304</v>
      </c>
      <c r="H29" s="2">
        <v>230885.72500000001</v>
      </c>
      <c r="I29" s="2">
        <v>223908.96799999999</v>
      </c>
      <c r="J29" s="2">
        <v>205188.20499999999</v>
      </c>
      <c r="K29" s="2">
        <v>196353.492</v>
      </c>
      <c r="L29" s="2">
        <v>175873.72</v>
      </c>
      <c r="M29" s="2">
        <v>150706.446</v>
      </c>
      <c r="N29" s="2">
        <v>122288.383</v>
      </c>
      <c r="O29" s="10">
        <v>96369.875</v>
      </c>
      <c r="P29" s="2">
        <v>8515767</v>
      </c>
      <c r="Q29" s="12">
        <v>8358140</v>
      </c>
      <c r="R29" s="2">
        <v>25.760899999999999</v>
      </c>
      <c r="S29" s="2">
        <v>1.0045999999999999</v>
      </c>
      <c r="T29" s="4">
        <v>2.7E-2</v>
      </c>
      <c r="W29" t="s">
        <v>414</v>
      </c>
      <c r="X29" s="6">
        <v>94.185000000000002</v>
      </c>
      <c r="Y29" s="6">
        <v>104.92400000000001</v>
      </c>
      <c r="Z29" s="6">
        <v>106.44499999999999</v>
      </c>
      <c r="AA29" s="6">
        <v>106.53700000000001</v>
      </c>
      <c r="AB29" s="6">
        <v>104.25700000000001</v>
      </c>
      <c r="AC29" s="6">
        <v>100.34099999999999</v>
      </c>
    </row>
    <row r="30" spans="1:33" x14ac:dyDescent="0.25">
      <c r="A30" s="2">
        <v>221</v>
      </c>
      <c r="B30" s="2" t="s">
        <v>459</v>
      </c>
      <c r="C30" s="2" t="s">
        <v>460</v>
      </c>
      <c r="D30" s="2" t="str">
        <f>VLOOKUP(C30,[2]world_pop.!$C:$E,3,FALSE)</f>
        <v>North America</v>
      </c>
      <c r="E30" s="2">
        <v>31.305</v>
      </c>
      <c r="F30" s="2">
        <v>31.122</v>
      </c>
      <c r="G30" s="2">
        <v>30.91</v>
      </c>
      <c r="H30" s="2">
        <v>34.768000000000001</v>
      </c>
      <c r="I30" s="2">
        <v>32.994999999999997</v>
      </c>
      <c r="J30" s="2">
        <v>29.366</v>
      </c>
      <c r="K30" s="2">
        <v>27.556000000000001</v>
      </c>
      <c r="L30" s="2">
        <v>20.103999999999999</v>
      </c>
      <c r="M30" s="2">
        <v>15.617000000000001</v>
      </c>
      <c r="N30" s="2">
        <v>11.109</v>
      </c>
      <c r="O30" s="10">
        <v>9.5809999999999995</v>
      </c>
      <c r="P30" s="2">
        <v>151</v>
      </c>
      <c r="Q30" s="12">
        <v>150</v>
      </c>
      <c r="R30" s="2">
        <v>208.7</v>
      </c>
      <c r="S30" s="2">
        <v>1.0059</v>
      </c>
      <c r="T30" s="4">
        <v>0</v>
      </c>
      <c r="W30" t="s">
        <v>128</v>
      </c>
      <c r="X30" s="6">
        <v>32192.919000000002</v>
      </c>
      <c r="Y30" s="6">
        <v>28202.414000000001</v>
      </c>
      <c r="Z30" s="6">
        <v>26177.413</v>
      </c>
      <c r="AA30" s="6">
        <v>25921.089</v>
      </c>
      <c r="AB30" s="6">
        <v>23820.236000000001</v>
      </c>
      <c r="AC30" s="6">
        <v>22019.168000000001</v>
      </c>
    </row>
    <row r="31" spans="1:33" x14ac:dyDescent="0.25">
      <c r="A31" s="2">
        <v>175</v>
      </c>
      <c r="B31" s="2" t="s">
        <v>367</v>
      </c>
      <c r="C31" s="2" t="s">
        <v>368</v>
      </c>
      <c r="D31" s="2" t="str">
        <f>VLOOKUP(C31,[2]world_pop.!$C:$E,3,FALSE)</f>
        <v>Asia</v>
      </c>
      <c r="E31" s="2">
        <v>449.00200000000001</v>
      </c>
      <c r="F31" s="2">
        <v>445.37299999999999</v>
      </c>
      <c r="G31" s="2">
        <v>441.72500000000002</v>
      </c>
      <c r="H31" s="2">
        <v>498.37299999999999</v>
      </c>
      <c r="I31" s="2">
        <v>473.31200000000001</v>
      </c>
      <c r="J31" s="2">
        <v>421.43700000000001</v>
      </c>
      <c r="K31" s="2">
        <v>396.053</v>
      </c>
      <c r="L31" s="2">
        <v>333.92599999999999</v>
      </c>
      <c r="M31" s="2">
        <v>261.928</v>
      </c>
      <c r="N31" s="2">
        <v>187.92099999999999</v>
      </c>
      <c r="O31" s="10">
        <v>133.34299999999999</v>
      </c>
      <c r="P31" s="2">
        <v>5765</v>
      </c>
      <c r="Q31" s="12">
        <v>5270</v>
      </c>
      <c r="R31" s="2">
        <v>85.199600000000004</v>
      </c>
      <c r="S31" s="2">
        <v>1.0081</v>
      </c>
      <c r="T31" s="4">
        <v>1E-4</v>
      </c>
      <c r="W31" t="s">
        <v>216</v>
      </c>
      <c r="X31" s="6">
        <v>8924.19</v>
      </c>
      <c r="Y31" s="6">
        <v>9054.5759999999991</v>
      </c>
      <c r="Z31" s="6">
        <v>8939.6170000000002</v>
      </c>
      <c r="AA31" s="6">
        <v>8922.0820000000003</v>
      </c>
      <c r="AB31" s="6">
        <v>8642.4210000000003</v>
      </c>
      <c r="AC31" s="6">
        <v>8362.8289999999997</v>
      </c>
    </row>
    <row r="32" spans="1:33" x14ac:dyDescent="0.25">
      <c r="A32" s="2">
        <v>108</v>
      </c>
      <c r="B32" s="2" t="s">
        <v>233</v>
      </c>
      <c r="C32" s="2" t="s">
        <v>234</v>
      </c>
      <c r="D32" s="2" t="str">
        <f>VLOOKUP(C32,[2]world_pop.!$C:$E,3,FALSE)</f>
        <v>Europe</v>
      </c>
      <c r="E32" s="2">
        <v>6781.9530000000004</v>
      </c>
      <c r="F32" s="2">
        <v>6885.8680000000004</v>
      </c>
      <c r="G32" s="2">
        <v>6979.1750000000002</v>
      </c>
      <c r="H32" s="2">
        <v>5187.3919999999998</v>
      </c>
      <c r="I32" s="2">
        <v>6290.1660000000002</v>
      </c>
      <c r="J32" s="2">
        <v>7309.2529999999997</v>
      </c>
      <c r="K32" s="2">
        <v>7592.2730000000001</v>
      </c>
      <c r="L32" s="2">
        <v>8097.6909999999998</v>
      </c>
      <c r="M32" s="2">
        <v>8767.7780000000002</v>
      </c>
      <c r="N32" s="2">
        <v>8980.6059999999998</v>
      </c>
      <c r="O32" s="10">
        <v>8582.9500000000007</v>
      </c>
      <c r="P32" s="2">
        <v>110879</v>
      </c>
      <c r="Q32" s="12">
        <v>108560</v>
      </c>
      <c r="R32" s="2">
        <v>62.471899999999998</v>
      </c>
      <c r="S32" s="2">
        <v>0.9849</v>
      </c>
      <c r="T32" s="4">
        <v>8.9999999999999998E-4</v>
      </c>
      <c r="W32" t="s">
        <v>200</v>
      </c>
      <c r="X32" s="6">
        <v>10867.296</v>
      </c>
      <c r="Y32" s="6">
        <v>10711.138000000001</v>
      </c>
      <c r="Z32" s="6">
        <v>10358.074000000001</v>
      </c>
      <c r="AA32" s="6">
        <v>10312.992</v>
      </c>
      <c r="AB32" s="6">
        <v>9863.48</v>
      </c>
      <c r="AC32" s="6">
        <v>9237.2019999999993</v>
      </c>
    </row>
    <row r="33" spans="1:29" x14ac:dyDescent="0.25">
      <c r="A33" s="2">
        <v>58</v>
      </c>
      <c r="B33" s="2" t="s">
        <v>133</v>
      </c>
      <c r="C33" s="2" t="s">
        <v>134</v>
      </c>
      <c r="D33" s="2" t="str">
        <f>VLOOKUP(C33,[2]world_pop.!$C:$E,3,FALSE)</f>
        <v>Africa</v>
      </c>
      <c r="E33" s="2">
        <v>22673.761999999999</v>
      </c>
      <c r="F33" s="2">
        <v>22100.683000000001</v>
      </c>
      <c r="G33" s="2">
        <v>21522.626</v>
      </c>
      <c r="H33" s="2">
        <v>40541.548000000003</v>
      </c>
      <c r="I33" s="2">
        <v>27523.562999999998</v>
      </c>
      <c r="J33" s="2">
        <v>18718.019</v>
      </c>
      <c r="K33" s="2">
        <v>16116.844999999999</v>
      </c>
      <c r="L33" s="2">
        <v>11882.888000000001</v>
      </c>
      <c r="M33" s="2">
        <v>9131.3610000000008</v>
      </c>
      <c r="N33" s="2">
        <v>6932.9669999999996</v>
      </c>
      <c r="O33" s="10">
        <v>5611.6660000000002</v>
      </c>
      <c r="P33" s="2">
        <v>272967</v>
      </c>
      <c r="Q33" s="12">
        <v>273600</v>
      </c>
      <c r="R33" s="2">
        <v>82.871899999999997</v>
      </c>
      <c r="S33" s="2">
        <v>1.0259</v>
      </c>
      <c r="T33" s="4">
        <v>2.8E-3</v>
      </c>
      <c r="W33" t="s">
        <v>370</v>
      </c>
      <c r="X33" s="6">
        <v>450.625</v>
      </c>
      <c r="Y33" s="6">
        <v>429.846</v>
      </c>
      <c r="Z33" s="6">
        <v>409.98399999999998</v>
      </c>
      <c r="AA33" s="6">
        <v>407.90600000000001</v>
      </c>
      <c r="AB33" s="6">
        <v>392.697</v>
      </c>
      <c r="AC33" s="6">
        <v>373.27199999999999</v>
      </c>
    </row>
    <row r="34" spans="1:29" x14ac:dyDescent="0.25">
      <c r="A34" s="2">
        <v>78</v>
      </c>
      <c r="B34" s="2" t="s">
        <v>173</v>
      </c>
      <c r="C34" s="2" t="s">
        <v>174</v>
      </c>
      <c r="D34" s="2" t="str">
        <f>VLOOKUP(C34,[2]world_pop.!$C:$E,3,FALSE)</f>
        <v>Africa</v>
      </c>
      <c r="E34" s="2">
        <v>12889.575999999999</v>
      </c>
      <c r="F34" s="2">
        <v>12551.213</v>
      </c>
      <c r="G34" s="2">
        <v>12220.227000000001</v>
      </c>
      <c r="H34" s="2">
        <v>24208.670999999998</v>
      </c>
      <c r="I34" s="2">
        <v>15800.53</v>
      </c>
      <c r="J34" s="2">
        <v>10727.147999999999</v>
      </c>
      <c r="K34" s="2">
        <v>9126.6049999999996</v>
      </c>
      <c r="L34" s="2">
        <v>6307.6589999999997</v>
      </c>
      <c r="M34" s="2">
        <v>5483.7929999999997</v>
      </c>
      <c r="N34" s="2">
        <v>4312.8339999999998</v>
      </c>
      <c r="O34" s="10">
        <v>3497.8339999999998</v>
      </c>
      <c r="P34" s="2">
        <v>27834</v>
      </c>
      <c r="Q34" s="12">
        <v>25680</v>
      </c>
      <c r="R34" s="2">
        <v>501.93049999999999</v>
      </c>
      <c r="S34" s="2">
        <v>1.0269999999999999</v>
      </c>
      <c r="T34" s="4">
        <v>1.6000000000000001E-3</v>
      </c>
      <c r="W34" t="s">
        <v>326</v>
      </c>
      <c r="X34" s="6">
        <v>1809.2370000000001</v>
      </c>
      <c r="Y34" s="6">
        <v>1574.6790000000001</v>
      </c>
      <c r="Z34" s="6">
        <v>1472.2329999999999</v>
      </c>
      <c r="AA34" s="6">
        <v>1463.2650000000001</v>
      </c>
      <c r="AB34" s="6">
        <v>1362.1420000000001</v>
      </c>
      <c r="AC34" s="6">
        <v>1213.645</v>
      </c>
    </row>
    <row r="35" spans="1:29" x14ac:dyDescent="0.25">
      <c r="A35" s="2">
        <v>73</v>
      </c>
      <c r="B35" s="2" t="s">
        <v>163</v>
      </c>
      <c r="C35" s="2" t="s">
        <v>164</v>
      </c>
      <c r="D35" s="2" t="str">
        <f>VLOOKUP(C35,[2]world_pop.!$C:$E,3,FALSE)</f>
        <v>Asia</v>
      </c>
      <c r="E35" s="2">
        <v>16767.842000000001</v>
      </c>
      <c r="F35" s="2">
        <v>16589.023000000001</v>
      </c>
      <c r="G35" s="2">
        <v>16396.86</v>
      </c>
      <c r="H35" s="2">
        <v>20258.435000000001</v>
      </c>
      <c r="I35" s="2">
        <v>18084.248</v>
      </c>
      <c r="J35" s="2">
        <v>15417.522999999999</v>
      </c>
      <c r="K35" s="2">
        <v>14363.531999999999</v>
      </c>
      <c r="L35" s="2">
        <v>12118.841</v>
      </c>
      <c r="M35" s="2">
        <v>8910.8080000000009</v>
      </c>
      <c r="N35" s="2">
        <v>6198.9589999999998</v>
      </c>
      <c r="O35" s="10">
        <v>6708.5249999999996</v>
      </c>
      <c r="P35" s="2">
        <v>181035</v>
      </c>
      <c r="Q35" s="12">
        <v>176520</v>
      </c>
      <c r="R35" s="2">
        <v>94.991200000000006</v>
      </c>
      <c r="S35" s="2">
        <v>1.0107999999999999</v>
      </c>
      <c r="T35" s="4">
        <v>2.0999999999999999E-3</v>
      </c>
      <c r="W35" t="s">
        <v>34</v>
      </c>
      <c r="X35" s="6">
        <v>203904.9</v>
      </c>
      <c r="Y35" s="6">
        <v>184424.144</v>
      </c>
      <c r="Z35" s="6">
        <v>171186.372</v>
      </c>
      <c r="AA35" s="6">
        <v>169356.25099999999</v>
      </c>
      <c r="AB35" s="6">
        <v>157830</v>
      </c>
      <c r="AC35" s="6">
        <v>148391.139</v>
      </c>
    </row>
    <row r="36" spans="1:29" x14ac:dyDescent="0.25">
      <c r="A36" s="2">
        <v>53</v>
      </c>
      <c r="B36" s="2" t="s">
        <v>123</v>
      </c>
      <c r="C36" s="2" t="s">
        <v>124</v>
      </c>
      <c r="D36" s="2" t="str">
        <f>VLOOKUP(C36,[2]world_pop.!$C:$E,3,FALSE)</f>
        <v>Africa</v>
      </c>
      <c r="E36" s="2">
        <v>27914.536</v>
      </c>
      <c r="F36" s="2">
        <v>27198.628000000001</v>
      </c>
      <c r="G36" s="2">
        <v>26491.087</v>
      </c>
      <c r="H36" s="2">
        <v>51279.56</v>
      </c>
      <c r="I36" s="2">
        <v>34051.103000000003</v>
      </c>
      <c r="J36" s="2">
        <v>23012.646000000001</v>
      </c>
      <c r="K36" s="2">
        <v>19878.036</v>
      </c>
      <c r="L36" s="2">
        <v>15091.593999999999</v>
      </c>
      <c r="M36" s="2">
        <v>11430.52</v>
      </c>
      <c r="N36" s="2">
        <v>8519.8909999999996</v>
      </c>
      <c r="O36" s="10">
        <v>6452.7870000000003</v>
      </c>
      <c r="P36" s="2">
        <v>475442</v>
      </c>
      <c r="Q36" s="12">
        <v>472710</v>
      </c>
      <c r="R36" s="2">
        <v>59.052100000000003</v>
      </c>
      <c r="S36" s="2">
        <v>1.0263</v>
      </c>
      <c r="T36" s="4">
        <v>3.5000000000000001E-3</v>
      </c>
      <c r="W36" t="s">
        <v>390</v>
      </c>
      <c r="X36" s="6">
        <v>267.78800000000001</v>
      </c>
      <c r="Y36" s="6">
        <v>283.08199999999999</v>
      </c>
      <c r="Z36" s="6">
        <v>281.63499999999999</v>
      </c>
      <c r="AA36" s="6">
        <v>281.2</v>
      </c>
      <c r="AB36" s="6">
        <v>278.08300000000003</v>
      </c>
      <c r="AC36" s="6">
        <v>274.71100000000001</v>
      </c>
    </row>
    <row r="37" spans="1:29" x14ac:dyDescent="0.25">
      <c r="A37" s="2">
        <v>39</v>
      </c>
      <c r="B37" s="2" t="s">
        <v>95</v>
      </c>
      <c r="C37" s="2" t="s">
        <v>96</v>
      </c>
      <c r="D37" s="2" t="str">
        <f>VLOOKUP(C37,[2]world_pop.!$C:$E,3,FALSE)</f>
        <v>North America</v>
      </c>
      <c r="E37" s="2">
        <v>38454.326999999997</v>
      </c>
      <c r="F37" s="2">
        <v>38155.012000000002</v>
      </c>
      <c r="G37" s="2">
        <v>37888.705000000002</v>
      </c>
      <c r="H37" s="2">
        <v>45890.819000000003</v>
      </c>
      <c r="I37" s="2">
        <v>41008.595999999998</v>
      </c>
      <c r="J37" s="2">
        <v>35732.125999999997</v>
      </c>
      <c r="K37" s="2">
        <v>33963.411999999997</v>
      </c>
      <c r="L37" s="2">
        <v>30683.312999999998</v>
      </c>
      <c r="M37" s="2">
        <v>27657.204000000002</v>
      </c>
      <c r="N37" s="2">
        <v>24511.51</v>
      </c>
      <c r="O37" s="10">
        <v>21434.577000000001</v>
      </c>
      <c r="P37" s="2">
        <v>9984670</v>
      </c>
      <c r="Q37" s="12">
        <v>8965590</v>
      </c>
      <c r="R37" s="2">
        <v>4.2891000000000004</v>
      </c>
      <c r="S37" s="2">
        <v>1.0078</v>
      </c>
      <c r="T37" s="4">
        <v>4.7999999999999996E-3</v>
      </c>
      <c r="W37" t="s">
        <v>210</v>
      </c>
      <c r="X37" s="6">
        <v>8409.6319999999996</v>
      </c>
      <c r="Y37" s="6">
        <v>9206.17</v>
      </c>
      <c r="Z37" s="6">
        <v>9534.9539999999997</v>
      </c>
      <c r="AA37" s="6">
        <v>9578.1669999999995</v>
      </c>
      <c r="AB37" s="6">
        <v>9700.6090000000004</v>
      </c>
      <c r="AC37" s="6">
        <v>9731.4269999999997</v>
      </c>
    </row>
    <row r="38" spans="1:29" x14ac:dyDescent="0.25">
      <c r="A38" s="2">
        <v>171</v>
      </c>
      <c r="B38" s="2" t="s">
        <v>359</v>
      </c>
      <c r="C38" s="2" t="s">
        <v>360</v>
      </c>
      <c r="D38" s="2" t="str">
        <f>VLOOKUP(C38,[2]world_pop.!$C:$E,3,FALSE)</f>
        <v>Africa</v>
      </c>
      <c r="E38" s="2">
        <v>593.149</v>
      </c>
      <c r="F38" s="2">
        <v>587.92499999999995</v>
      </c>
      <c r="G38" s="2">
        <v>582.64</v>
      </c>
      <c r="H38" s="2">
        <v>727.45699999999999</v>
      </c>
      <c r="I38" s="2">
        <v>638.84</v>
      </c>
      <c r="J38" s="2">
        <v>552.16600000000005</v>
      </c>
      <c r="K38" s="2">
        <v>521.21199999999999</v>
      </c>
      <c r="L38" s="2">
        <v>458.25099999999998</v>
      </c>
      <c r="M38" s="2">
        <v>364.56299999999999</v>
      </c>
      <c r="N38" s="2">
        <v>317.23399999999998</v>
      </c>
      <c r="O38" s="10">
        <v>287.262</v>
      </c>
      <c r="P38" s="2">
        <v>4033</v>
      </c>
      <c r="Q38" s="12">
        <v>4033</v>
      </c>
      <c r="R38" s="2">
        <v>147.07390000000001</v>
      </c>
      <c r="S38" s="2">
        <v>1.0088999999999999</v>
      </c>
      <c r="T38" s="4">
        <v>1E-4</v>
      </c>
      <c r="W38" t="s">
        <v>180</v>
      </c>
      <c r="X38" s="6">
        <v>12090.656999999999</v>
      </c>
      <c r="Y38" s="6">
        <v>11873.46</v>
      </c>
      <c r="Z38" s="6">
        <v>11655.93</v>
      </c>
      <c r="AA38" s="6">
        <v>11611.419</v>
      </c>
      <c r="AB38" s="6">
        <v>11248.303</v>
      </c>
      <c r="AC38" s="6">
        <v>10877.947</v>
      </c>
    </row>
    <row r="39" spans="1:29" x14ac:dyDescent="0.25">
      <c r="A39" s="2">
        <v>205</v>
      </c>
      <c r="B39" s="2" t="s">
        <v>427</v>
      </c>
      <c r="C39" s="2" t="s">
        <v>428</v>
      </c>
      <c r="D39" s="2" t="str">
        <f>VLOOKUP(C39,[2]world_pop.!$C:$E,3,FALSE)</f>
        <v>North America</v>
      </c>
      <c r="E39" s="2">
        <v>68.706000000000003</v>
      </c>
      <c r="F39" s="2">
        <v>68.135999999999996</v>
      </c>
      <c r="G39" s="2">
        <v>67.311000000000007</v>
      </c>
      <c r="H39" s="2">
        <v>77.632999999999996</v>
      </c>
      <c r="I39" s="2">
        <v>72.864999999999995</v>
      </c>
      <c r="J39" s="2">
        <v>60.911000000000001</v>
      </c>
      <c r="K39" s="2">
        <v>54.073999999999998</v>
      </c>
      <c r="L39" s="2">
        <v>39.658000000000001</v>
      </c>
      <c r="M39" s="2">
        <v>26.027000000000001</v>
      </c>
      <c r="N39" s="2">
        <v>17.100000000000001</v>
      </c>
      <c r="O39" s="10">
        <v>10.532999999999999</v>
      </c>
      <c r="P39" s="2">
        <v>264</v>
      </c>
      <c r="Q39" s="12">
        <v>240</v>
      </c>
      <c r="R39" s="2">
        <v>286.27499999999998</v>
      </c>
      <c r="S39" s="2">
        <v>1.0084</v>
      </c>
      <c r="T39" s="4">
        <v>0</v>
      </c>
      <c r="W39" t="s">
        <v>372</v>
      </c>
      <c r="X39" s="6">
        <v>538.83799999999997</v>
      </c>
      <c r="Y39" s="6">
        <v>450.428</v>
      </c>
      <c r="Z39" s="6">
        <v>405.27199999999999</v>
      </c>
      <c r="AA39" s="6">
        <v>400.03100000000001</v>
      </c>
      <c r="AB39" s="6">
        <v>359.87099999999998</v>
      </c>
      <c r="AC39" s="6">
        <v>322.10599999999999</v>
      </c>
    </row>
    <row r="40" spans="1:29" x14ac:dyDescent="0.25">
      <c r="A40" s="2">
        <v>117</v>
      </c>
      <c r="B40" s="2" t="s">
        <v>251</v>
      </c>
      <c r="C40" s="2" t="s">
        <v>252</v>
      </c>
      <c r="D40" s="2" t="str">
        <f>VLOOKUP(C40,[2]world_pop.!$C:$E,3,FALSE)</f>
        <v>Africa</v>
      </c>
      <c r="E40" s="2">
        <v>5579.1440000000002</v>
      </c>
      <c r="F40" s="2">
        <v>5457.1540000000005</v>
      </c>
      <c r="G40" s="2">
        <v>5343.02</v>
      </c>
      <c r="H40" s="2">
        <v>11533.423000000001</v>
      </c>
      <c r="I40" s="2">
        <v>7104.2740000000003</v>
      </c>
      <c r="J40" s="2">
        <v>4819.3329999999996</v>
      </c>
      <c r="K40" s="2">
        <v>4660.067</v>
      </c>
      <c r="L40" s="2">
        <v>3759.17</v>
      </c>
      <c r="M40" s="2">
        <v>2809.221</v>
      </c>
      <c r="N40" s="2">
        <v>2415.2759999999998</v>
      </c>
      <c r="O40" s="10">
        <v>2067.3560000000002</v>
      </c>
      <c r="P40" s="2">
        <v>622984</v>
      </c>
      <c r="Q40" s="12">
        <v>622980</v>
      </c>
      <c r="R40" s="2">
        <v>8.9556000000000004</v>
      </c>
      <c r="S40" s="2">
        <v>1.0224</v>
      </c>
      <c r="T40" s="4">
        <v>6.9999999999999999E-4</v>
      </c>
      <c r="W40" t="s">
        <v>172</v>
      </c>
      <c r="X40" s="6">
        <v>25264.035</v>
      </c>
      <c r="Y40" s="6">
        <v>16393.827000000001</v>
      </c>
      <c r="Z40" s="6">
        <v>13352.864</v>
      </c>
      <c r="AA40" s="6">
        <v>12996.895</v>
      </c>
      <c r="AB40" s="6">
        <v>10932.782999999999</v>
      </c>
      <c r="AC40" s="6">
        <v>9445.7099999999991</v>
      </c>
    </row>
    <row r="41" spans="1:29" x14ac:dyDescent="0.25">
      <c r="A41" s="2">
        <v>69</v>
      </c>
      <c r="B41" s="2" t="s">
        <v>155</v>
      </c>
      <c r="C41" s="2" t="s">
        <v>156</v>
      </c>
      <c r="D41" s="2" t="str">
        <f>VLOOKUP(C41,[2]world_pop.!$C:$E,3,FALSE)</f>
        <v>Africa</v>
      </c>
      <c r="E41" s="2">
        <v>17723.314999999999</v>
      </c>
      <c r="F41" s="2">
        <v>17179.740000000002</v>
      </c>
      <c r="G41" s="2">
        <v>16644.701000000001</v>
      </c>
      <c r="H41" s="2">
        <v>36452.035000000003</v>
      </c>
      <c r="I41" s="2">
        <v>22460.393</v>
      </c>
      <c r="J41" s="2">
        <v>14140.273999999999</v>
      </c>
      <c r="K41" s="2">
        <v>11894.727000000001</v>
      </c>
      <c r="L41" s="2">
        <v>8259.1370000000006</v>
      </c>
      <c r="M41" s="2">
        <v>5827.0690000000004</v>
      </c>
      <c r="N41" s="2">
        <v>4408.2299999999996</v>
      </c>
      <c r="O41" s="10">
        <v>3667.3939999999998</v>
      </c>
      <c r="P41" s="2">
        <v>1284000</v>
      </c>
      <c r="Q41" s="12">
        <v>1259200</v>
      </c>
      <c r="R41" s="2">
        <v>14.075100000000001</v>
      </c>
      <c r="S41" s="2">
        <v>1.0316000000000001</v>
      </c>
      <c r="T41" s="4">
        <v>2.2000000000000001E-3</v>
      </c>
      <c r="W41" t="s">
        <v>430</v>
      </c>
      <c r="X41" s="6">
        <v>56.040999999999997</v>
      </c>
      <c r="Y41" s="6">
        <v>62.805999999999997</v>
      </c>
      <c r="Z41" s="6">
        <v>64.183999999999997</v>
      </c>
      <c r="AA41" s="6">
        <v>64.185000000000002</v>
      </c>
      <c r="AB41" s="6">
        <v>63.143999999999998</v>
      </c>
      <c r="AC41" s="6">
        <v>63.447000000000003</v>
      </c>
    </row>
    <row r="42" spans="1:29" x14ac:dyDescent="0.25">
      <c r="A42" s="2">
        <v>65</v>
      </c>
      <c r="B42" s="2" t="s">
        <v>147</v>
      </c>
      <c r="C42" s="2" t="s">
        <v>148</v>
      </c>
      <c r="D42" s="2" t="str">
        <f>VLOOKUP(C42,[2]world_pop.!$C:$E,3,FALSE)</f>
        <v>South America</v>
      </c>
      <c r="E42" s="2">
        <v>19603.733</v>
      </c>
      <c r="F42" s="2">
        <v>19493.184000000001</v>
      </c>
      <c r="G42" s="2">
        <v>19300.314999999999</v>
      </c>
      <c r="H42" s="2">
        <v>20675.378000000001</v>
      </c>
      <c r="I42" s="2">
        <v>19933.769</v>
      </c>
      <c r="J42" s="2">
        <v>17870.124</v>
      </c>
      <c r="K42" s="2">
        <v>17004.162</v>
      </c>
      <c r="L42" s="2">
        <v>15351.799000000001</v>
      </c>
      <c r="M42" s="2">
        <v>13342.868</v>
      </c>
      <c r="N42" s="2">
        <v>11469.828</v>
      </c>
      <c r="O42" s="10">
        <v>9820.4809999999998</v>
      </c>
      <c r="P42" s="2">
        <v>756102</v>
      </c>
      <c r="Q42" s="12">
        <v>743532</v>
      </c>
      <c r="R42" s="2">
        <v>26.3657</v>
      </c>
      <c r="S42" s="2">
        <v>1.0057</v>
      </c>
      <c r="T42" s="4">
        <v>2.5000000000000001E-3</v>
      </c>
      <c r="W42" t="s">
        <v>348</v>
      </c>
      <c r="X42" s="6">
        <v>874.29399999999998</v>
      </c>
      <c r="Y42" s="6">
        <v>821.49800000000005</v>
      </c>
      <c r="Z42" s="6">
        <v>782.45500000000004</v>
      </c>
      <c r="AA42" s="6">
        <v>777.48599999999999</v>
      </c>
      <c r="AB42" s="6">
        <v>743.274</v>
      </c>
      <c r="AC42" s="6">
        <v>705.51599999999996</v>
      </c>
    </row>
    <row r="43" spans="1:29" x14ac:dyDescent="0.25">
      <c r="A43" s="2">
        <v>1</v>
      </c>
      <c r="B43" s="2" t="s">
        <v>19</v>
      </c>
      <c r="C43" s="2" t="s">
        <v>20</v>
      </c>
      <c r="D43" s="2" t="str">
        <f>VLOOKUP(C43,[2]world_pop.!$C:$E,3,FALSE)</f>
        <v>Asia</v>
      </c>
      <c r="E43" s="2">
        <v>1425887.3370000001</v>
      </c>
      <c r="F43" s="2">
        <v>1425893.4650000001</v>
      </c>
      <c r="G43" s="2">
        <v>1424929.781</v>
      </c>
      <c r="H43" s="2">
        <v>1312636.325</v>
      </c>
      <c r="I43" s="2">
        <v>1415605.906</v>
      </c>
      <c r="J43" s="2">
        <v>1393715.4480000001</v>
      </c>
      <c r="K43" s="2">
        <v>1348191.368</v>
      </c>
      <c r="L43" s="2">
        <v>1264099.0689999999</v>
      </c>
      <c r="M43" s="2">
        <v>1153704.2520000001</v>
      </c>
      <c r="N43" s="2">
        <v>982372.46600000001</v>
      </c>
      <c r="O43" s="10">
        <v>822534.45</v>
      </c>
      <c r="P43" s="2">
        <v>9706961</v>
      </c>
      <c r="Q43" s="12">
        <v>9424702.9000000004</v>
      </c>
      <c r="R43" s="2">
        <v>151.29259999999999</v>
      </c>
      <c r="S43" s="2">
        <v>1</v>
      </c>
      <c r="T43" s="4">
        <v>0.17879999999999999</v>
      </c>
      <c r="W43" t="s">
        <v>178</v>
      </c>
      <c r="X43" s="6">
        <v>16609.853999999999</v>
      </c>
      <c r="Y43" s="6">
        <v>13625.507</v>
      </c>
      <c r="Z43" s="6">
        <v>12224.11</v>
      </c>
      <c r="AA43" s="6">
        <v>12079.472</v>
      </c>
      <c r="AB43" s="6">
        <v>11090.084999999999</v>
      </c>
      <c r="AC43" s="6">
        <v>10223.27</v>
      </c>
    </row>
    <row r="44" spans="1:29" x14ac:dyDescent="0.25">
      <c r="A44" s="2">
        <v>28</v>
      </c>
      <c r="B44" s="2" t="s">
        <v>73</v>
      </c>
      <c r="C44" s="2" t="s">
        <v>74</v>
      </c>
      <c r="D44" s="2" t="str">
        <f>VLOOKUP(C44,[2]world_pop.!$C:$E,3,FALSE)</f>
        <v>South America</v>
      </c>
      <c r="E44" s="2">
        <v>51874.023999999998</v>
      </c>
      <c r="F44" s="2">
        <v>51516.561999999998</v>
      </c>
      <c r="G44" s="2">
        <v>50930.661999999997</v>
      </c>
      <c r="H44" s="2">
        <v>56987.650999999998</v>
      </c>
      <c r="I44" s="2">
        <v>54129.764000000003</v>
      </c>
      <c r="J44" s="2">
        <v>47119.728000000003</v>
      </c>
      <c r="K44" s="2">
        <v>44816.108</v>
      </c>
      <c r="L44" s="2">
        <v>39215.135000000002</v>
      </c>
      <c r="M44" s="2">
        <v>32601.393</v>
      </c>
      <c r="N44" s="2">
        <v>26176.195</v>
      </c>
      <c r="O44" s="10">
        <v>20905.254000000001</v>
      </c>
      <c r="P44" s="2">
        <v>1141748</v>
      </c>
      <c r="Q44" s="12">
        <v>1109500</v>
      </c>
      <c r="R44" s="2">
        <v>46.754399999999997</v>
      </c>
      <c r="S44" s="2">
        <v>1.0068999999999999</v>
      </c>
      <c r="T44" s="4">
        <v>6.4999999999999997E-3</v>
      </c>
      <c r="W44" t="s">
        <v>292</v>
      </c>
      <c r="X44" s="6">
        <v>2739.0140000000001</v>
      </c>
      <c r="Y44" s="6">
        <v>3111.7890000000002</v>
      </c>
      <c r="Z44" s="6">
        <v>3233.5259999999998</v>
      </c>
      <c r="AA44" s="6">
        <v>3270.9430000000002</v>
      </c>
      <c r="AB44" s="6">
        <v>3524.3240000000001</v>
      </c>
      <c r="AC44" s="6">
        <v>3811.0880000000002</v>
      </c>
    </row>
    <row r="45" spans="1:29" x14ac:dyDescent="0.25">
      <c r="A45" s="2">
        <v>163</v>
      </c>
      <c r="B45" s="2" t="s">
        <v>343</v>
      </c>
      <c r="C45" s="2" t="s">
        <v>344</v>
      </c>
      <c r="D45" s="2" t="str">
        <f>VLOOKUP(C45,[2]world_pop.!$C:$E,3,FALSE)</f>
        <v>Africa</v>
      </c>
      <c r="E45" s="2">
        <v>836.774</v>
      </c>
      <c r="F45" s="2">
        <v>821.625</v>
      </c>
      <c r="G45" s="2">
        <v>806.16600000000005</v>
      </c>
      <c r="H45" s="2">
        <v>1246.2070000000001</v>
      </c>
      <c r="I45" s="2">
        <v>959.41200000000003</v>
      </c>
      <c r="J45" s="2">
        <v>730.21600000000001</v>
      </c>
      <c r="K45" s="2">
        <v>656.024</v>
      </c>
      <c r="L45" s="2">
        <v>536.75800000000004</v>
      </c>
      <c r="M45" s="2">
        <v>431.11900000000003</v>
      </c>
      <c r="N45" s="2">
        <v>328.32799999999997</v>
      </c>
      <c r="O45" s="10">
        <v>242.351</v>
      </c>
      <c r="P45" s="2">
        <v>1862</v>
      </c>
      <c r="Q45" s="12">
        <v>1861</v>
      </c>
      <c r="R45" s="2">
        <v>449.63679999999999</v>
      </c>
      <c r="S45" s="2">
        <v>1.0184</v>
      </c>
      <c r="T45" s="4">
        <v>1E-4</v>
      </c>
      <c r="W45" t="s">
        <v>306</v>
      </c>
      <c r="X45" s="6">
        <v>3679.34</v>
      </c>
      <c r="Y45" s="6">
        <v>2972.2710000000002</v>
      </c>
      <c r="Z45" s="6">
        <v>2630.2959999999998</v>
      </c>
      <c r="AA45" s="6">
        <v>2588.4229999999998</v>
      </c>
      <c r="AB45" s="6">
        <v>2305.1709999999998</v>
      </c>
      <c r="AC45" s="6">
        <v>2091.6640000000002</v>
      </c>
    </row>
    <row r="46" spans="1:29" x14ac:dyDescent="0.25">
      <c r="A46" s="2">
        <v>223</v>
      </c>
      <c r="B46" s="2" t="s">
        <v>463</v>
      </c>
      <c r="C46" s="2" t="s">
        <v>464</v>
      </c>
      <c r="D46" s="2" t="str">
        <f>VLOOKUP(C46,[2]world_pop.!$C:$E,3,FALSE)</f>
        <v>Oceania</v>
      </c>
      <c r="E46" s="2">
        <v>17.010999999999999</v>
      </c>
      <c r="F46" s="2">
        <v>17.003</v>
      </c>
      <c r="G46" s="2">
        <v>17.029</v>
      </c>
      <c r="H46" s="2">
        <v>17.673999999999999</v>
      </c>
      <c r="I46" s="2">
        <v>17.253</v>
      </c>
      <c r="J46" s="2">
        <v>17.695</v>
      </c>
      <c r="K46" s="2">
        <v>17.212</v>
      </c>
      <c r="L46" s="2">
        <v>15.897</v>
      </c>
      <c r="M46" s="2">
        <v>17.123000000000001</v>
      </c>
      <c r="N46" s="2">
        <v>17.651</v>
      </c>
      <c r="O46" s="10">
        <v>20.47</v>
      </c>
      <c r="P46" s="2">
        <v>236</v>
      </c>
      <c r="Q46" s="12">
        <v>240</v>
      </c>
      <c r="R46" s="2">
        <v>70.879199999999997</v>
      </c>
      <c r="S46" s="2">
        <v>1.0004999999999999</v>
      </c>
      <c r="T46" s="4">
        <v>0</v>
      </c>
      <c r="W46" t="s">
        <v>32</v>
      </c>
      <c r="X46" s="6">
        <v>230885.72500000001</v>
      </c>
      <c r="Y46" s="6">
        <v>223908.96799999999</v>
      </c>
      <c r="Z46" s="6">
        <v>215313.49799999999</v>
      </c>
      <c r="AA46" s="6">
        <v>214326.223</v>
      </c>
      <c r="AB46" s="6">
        <v>205188.20499999999</v>
      </c>
      <c r="AC46" s="6">
        <v>196353.492</v>
      </c>
    </row>
    <row r="47" spans="1:29" x14ac:dyDescent="0.25">
      <c r="A47" s="2">
        <v>124</v>
      </c>
      <c r="B47" s="2" t="s">
        <v>265</v>
      </c>
      <c r="C47" s="2" t="s">
        <v>266</v>
      </c>
      <c r="D47" s="2" t="str">
        <f>VLOOKUP(C47,[2]world_pop.!$C:$E,3,FALSE)</f>
        <v>North America</v>
      </c>
      <c r="E47" s="2">
        <v>5180.8289999999997</v>
      </c>
      <c r="F47" s="2">
        <v>5153.9570000000003</v>
      </c>
      <c r="G47" s="2">
        <v>5123.1049999999996</v>
      </c>
      <c r="H47" s="2">
        <v>5702.5249999999996</v>
      </c>
      <c r="I47" s="2">
        <v>5432.2430000000004</v>
      </c>
      <c r="J47" s="2">
        <v>4895.2420000000002</v>
      </c>
      <c r="K47" s="2">
        <v>4622.2520000000004</v>
      </c>
      <c r="L47" s="2">
        <v>3979.1930000000002</v>
      </c>
      <c r="M47" s="2">
        <v>3158.2530000000002</v>
      </c>
      <c r="N47" s="2">
        <v>2414.3029999999999</v>
      </c>
      <c r="O47" s="10">
        <v>1855.6969999999999</v>
      </c>
      <c r="P47" s="2">
        <v>51100</v>
      </c>
      <c r="Q47" s="12">
        <v>51060</v>
      </c>
      <c r="R47" s="2">
        <v>101.46550000000001</v>
      </c>
      <c r="S47" s="2">
        <v>1.0052000000000001</v>
      </c>
      <c r="T47" s="4">
        <v>5.9999999999999995E-4</v>
      </c>
      <c r="W47" t="s">
        <v>460</v>
      </c>
      <c r="X47" s="6">
        <v>34.768000000000001</v>
      </c>
      <c r="Y47" s="6">
        <v>32.994999999999997</v>
      </c>
      <c r="Z47" s="6">
        <v>31.305</v>
      </c>
      <c r="AA47" s="6">
        <v>31.122</v>
      </c>
      <c r="AB47" s="6">
        <v>29.366</v>
      </c>
      <c r="AC47" s="6">
        <v>27.556000000000001</v>
      </c>
    </row>
    <row r="48" spans="1:29" x14ac:dyDescent="0.25">
      <c r="A48" s="2">
        <v>130</v>
      </c>
      <c r="B48" s="2" t="s">
        <v>277</v>
      </c>
      <c r="C48" s="2" t="s">
        <v>278</v>
      </c>
      <c r="D48" s="2" t="str">
        <f>VLOOKUP(C48,[2]world_pop.!$C:$E,3,FALSE)</f>
        <v>Europe</v>
      </c>
      <c r="E48" s="2">
        <v>4030.3580000000002</v>
      </c>
      <c r="F48" s="2">
        <v>4060.1350000000002</v>
      </c>
      <c r="G48" s="2">
        <v>4096.8689999999997</v>
      </c>
      <c r="H48" s="2">
        <v>3333.4250000000002</v>
      </c>
      <c r="I48" s="2">
        <v>3850.14</v>
      </c>
      <c r="J48" s="2">
        <v>4254.8149999999996</v>
      </c>
      <c r="K48" s="2">
        <v>4368.6819999999998</v>
      </c>
      <c r="L48" s="2">
        <v>4548.4340000000002</v>
      </c>
      <c r="M48" s="2">
        <v>4873.7070000000003</v>
      </c>
      <c r="N48" s="2">
        <v>4680.1440000000002</v>
      </c>
      <c r="O48" s="10">
        <v>4492.6379999999999</v>
      </c>
      <c r="P48" s="2">
        <v>56594</v>
      </c>
      <c r="Q48" s="12">
        <v>55960</v>
      </c>
      <c r="R48" s="2">
        <v>72.022099999999995</v>
      </c>
      <c r="S48" s="2">
        <v>0.99270000000000003</v>
      </c>
      <c r="T48" s="4">
        <v>5.0000000000000001E-4</v>
      </c>
      <c r="W48" t="s">
        <v>368</v>
      </c>
      <c r="X48" s="6">
        <v>498.37299999999999</v>
      </c>
      <c r="Y48" s="6">
        <v>473.31200000000001</v>
      </c>
      <c r="Z48" s="6">
        <v>449.00200000000001</v>
      </c>
      <c r="AA48" s="6">
        <v>445.37299999999999</v>
      </c>
      <c r="AB48" s="6">
        <v>421.43700000000001</v>
      </c>
      <c r="AC48" s="6">
        <v>396.053</v>
      </c>
    </row>
    <row r="49" spans="1:29" x14ac:dyDescent="0.25">
      <c r="A49" s="2">
        <v>85</v>
      </c>
      <c r="B49" s="2" t="s">
        <v>187</v>
      </c>
      <c r="C49" s="2" t="s">
        <v>188</v>
      </c>
      <c r="D49" s="2" t="str">
        <f>VLOOKUP(C49,[2]world_pop.!$C:$E,3,FALSE)</f>
        <v>North America</v>
      </c>
      <c r="E49" s="2">
        <v>11212.191000000001</v>
      </c>
      <c r="F49" s="2">
        <v>11256.371999999999</v>
      </c>
      <c r="G49" s="2">
        <v>11300.698</v>
      </c>
      <c r="H49" s="2">
        <v>10028.084999999999</v>
      </c>
      <c r="I49" s="2">
        <v>11016.040999999999</v>
      </c>
      <c r="J49" s="2">
        <v>11339.894</v>
      </c>
      <c r="K49" s="2">
        <v>11290.416999999999</v>
      </c>
      <c r="L49" s="2">
        <v>11105.790999999999</v>
      </c>
      <c r="M49" s="2">
        <v>10626.68</v>
      </c>
      <c r="N49" s="2">
        <v>9809.107</v>
      </c>
      <c r="O49" s="10">
        <v>8869.6360000000004</v>
      </c>
      <c r="P49" s="2">
        <v>109884</v>
      </c>
      <c r="Q49" s="12">
        <v>103800</v>
      </c>
      <c r="R49" s="2">
        <v>108.01730000000001</v>
      </c>
      <c r="S49" s="2">
        <v>0.99609999999999999</v>
      </c>
      <c r="T49" s="4">
        <v>1.4E-3</v>
      </c>
      <c r="W49" t="s">
        <v>234</v>
      </c>
      <c r="X49" s="6">
        <v>5187.3919999999998</v>
      </c>
      <c r="Y49" s="6">
        <v>6290.1660000000002</v>
      </c>
      <c r="Z49" s="6">
        <v>6781.9530000000004</v>
      </c>
      <c r="AA49" s="6">
        <v>6885.8680000000004</v>
      </c>
      <c r="AB49" s="6">
        <v>7309.2529999999997</v>
      </c>
      <c r="AC49" s="6">
        <v>7592.2730000000001</v>
      </c>
    </row>
    <row r="50" spans="1:29" x14ac:dyDescent="0.25">
      <c r="A50" s="2">
        <v>189</v>
      </c>
      <c r="B50" s="2" t="s">
        <v>395</v>
      </c>
      <c r="C50" s="2" t="s">
        <v>396</v>
      </c>
      <c r="D50" s="2" t="str">
        <f>VLOOKUP(C50,[2]world_pop.!$C:$E,3,FALSE)</f>
        <v>North America</v>
      </c>
      <c r="E50" s="2">
        <v>191.16300000000001</v>
      </c>
      <c r="F50" s="2">
        <v>190.33799999999999</v>
      </c>
      <c r="G50" s="2">
        <v>189.28800000000001</v>
      </c>
      <c r="H50" s="2">
        <v>204.084</v>
      </c>
      <c r="I50" s="2">
        <v>197.82900000000001</v>
      </c>
      <c r="J50" s="2">
        <v>169.572</v>
      </c>
      <c r="K50" s="2">
        <v>159.38</v>
      </c>
      <c r="L50" s="2">
        <v>141.42400000000001</v>
      </c>
      <c r="M50" s="2">
        <v>155.446</v>
      </c>
      <c r="N50" s="2">
        <v>156.851</v>
      </c>
      <c r="O50" s="10">
        <v>150.38499999999999</v>
      </c>
      <c r="P50" s="2">
        <v>444</v>
      </c>
      <c r="Q50" s="12">
        <v>444</v>
      </c>
      <c r="R50" s="2">
        <v>430.54730000000001</v>
      </c>
      <c r="S50" s="2">
        <v>1.0043</v>
      </c>
      <c r="T50" s="4">
        <v>0</v>
      </c>
      <c r="W50" t="s">
        <v>134</v>
      </c>
      <c r="X50" s="6">
        <v>40541.548000000003</v>
      </c>
      <c r="Y50" s="6">
        <v>27523.562999999998</v>
      </c>
      <c r="Z50" s="6">
        <v>22673.761999999999</v>
      </c>
      <c r="AA50" s="6">
        <v>22100.683000000001</v>
      </c>
      <c r="AB50" s="6">
        <v>18718.019</v>
      </c>
      <c r="AC50" s="6">
        <v>16116.844999999999</v>
      </c>
    </row>
    <row r="51" spans="1:29" x14ac:dyDescent="0.25">
      <c r="A51" s="2">
        <v>158</v>
      </c>
      <c r="B51" s="2" t="s">
        <v>333</v>
      </c>
      <c r="C51" s="2" t="s">
        <v>334</v>
      </c>
      <c r="D51" s="2" t="str">
        <f>VLOOKUP(C51,[2]world_pop.!$C:$E,3,FALSE)</f>
        <v>Europe</v>
      </c>
      <c r="E51" s="2">
        <v>1251.4880000000001</v>
      </c>
      <c r="F51" s="2">
        <v>1244.1880000000001</v>
      </c>
      <c r="G51" s="2">
        <v>1237.537</v>
      </c>
      <c r="H51" s="2">
        <v>1391.7850000000001</v>
      </c>
      <c r="I51" s="2">
        <v>1311.7840000000001</v>
      </c>
      <c r="J51" s="2">
        <v>1187.28</v>
      </c>
      <c r="K51" s="2">
        <v>1129.6859999999999</v>
      </c>
      <c r="L51" s="2">
        <v>948.23699999999997</v>
      </c>
      <c r="M51" s="2">
        <v>788.5</v>
      </c>
      <c r="N51" s="2">
        <v>679.327</v>
      </c>
      <c r="O51" s="10">
        <v>640.80399999999997</v>
      </c>
      <c r="P51" s="2">
        <v>9251</v>
      </c>
      <c r="Q51" s="12">
        <v>9240</v>
      </c>
      <c r="R51" s="2">
        <v>135.44239999999999</v>
      </c>
      <c r="S51" s="2">
        <v>1.0059</v>
      </c>
      <c r="T51" s="4">
        <v>2.0000000000000001E-4</v>
      </c>
      <c r="W51" t="s">
        <v>174</v>
      </c>
      <c r="X51" s="6">
        <v>24208.670999999998</v>
      </c>
      <c r="Y51" s="6">
        <v>15800.53</v>
      </c>
      <c r="Z51" s="6">
        <v>12889.575999999999</v>
      </c>
      <c r="AA51" s="6">
        <v>12551.213</v>
      </c>
      <c r="AB51" s="6">
        <v>10727.147999999999</v>
      </c>
      <c r="AC51" s="6">
        <v>9126.6049999999996</v>
      </c>
    </row>
    <row r="52" spans="1:29" x14ac:dyDescent="0.25">
      <c r="A52" s="2">
        <v>88</v>
      </c>
      <c r="B52" s="2" t="s">
        <v>193</v>
      </c>
      <c r="C52" s="2" t="s">
        <v>194</v>
      </c>
      <c r="D52" s="2" t="str">
        <f>VLOOKUP(C52,[2]world_pop.!$C:$E,3,FALSE)</f>
        <v>Europe</v>
      </c>
      <c r="E52" s="2">
        <v>10493.986000000001</v>
      </c>
      <c r="F52" s="2">
        <v>10510.751</v>
      </c>
      <c r="G52" s="2">
        <v>10530.953</v>
      </c>
      <c r="H52" s="2">
        <v>10577.126</v>
      </c>
      <c r="I52" s="2">
        <v>10515.199000000001</v>
      </c>
      <c r="J52" s="2">
        <v>10523.798000000001</v>
      </c>
      <c r="K52" s="2">
        <v>10464.749</v>
      </c>
      <c r="L52" s="2">
        <v>10234.709999999999</v>
      </c>
      <c r="M52" s="2">
        <v>10301.191999999999</v>
      </c>
      <c r="N52" s="2">
        <v>10270.06</v>
      </c>
      <c r="O52" s="10">
        <v>9795.7440000000006</v>
      </c>
      <c r="P52" s="2">
        <v>78865</v>
      </c>
      <c r="Q52" s="12">
        <v>77198.5</v>
      </c>
      <c r="R52" s="2">
        <v>135.93510000000001</v>
      </c>
      <c r="S52" s="2">
        <v>0.99839999999999995</v>
      </c>
      <c r="T52" s="4">
        <v>1.2999999999999999E-3</v>
      </c>
      <c r="W52" t="s">
        <v>164</v>
      </c>
      <c r="X52" s="6">
        <v>20258.435000000001</v>
      </c>
      <c r="Y52" s="6">
        <v>18084.248</v>
      </c>
      <c r="Z52" s="6">
        <v>16767.842000000001</v>
      </c>
      <c r="AA52" s="6">
        <v>16589.023000000001</v>
      </c>
      <c r="AB52" s="6">
        <v>15417.522999999999</v>
      </c>
      <c r="AC52" s="6">
        <v>14363.531999999999</v>
      </c>
    </row>
    <row r="53" spans="1:29" x14ac:dyDescent="0.25">
      <c r="A53" s="2">
        <v>115</v>
      </c>
      <c r="B53" s="2" t="s">
        <v>247</v>
      </c>
      <c r="C53" s="2" t="s">
        <v>248</v>
      </c>
      <c r="D53" s="2" t="str">
        <f>VLOOKUP(C53,[2]world_pop.!$C:$E,3,FALSE)</f>
        <v>Europe</v>
      </c>
      <c r="E53" s="2">
        <v>5882.2610000000004</v>
      </c>
      <c r="F53" s="2">
        <v>5854.24</v>
      </c>
      <c r="G53" s="2">
        <v>5825.6409999999996</v>
      </c>
      <c r="H53" s="2">
        <v>6445.1090000000004</v>
      </c>
      <c r="I53" s="2">
        <v>6104.4740000000002</v>
      </c>
      <c r="J53" s="2">
        <v>5677.7960000000003</v>
      </c>
      <c r="K53" s="2">
        <v>5550.8490000000002</v>
      </c>
      <c r="L53" s="2">
        <v>5340.6549999999997</v>
      </c>
      <c r="M53" s="2">
        <v>5144.6229999999996</v>
      </c>
      <c r="N53" s="2">
        <v>5125.3919999999998</v>
      </c>
      <c r="O53" s="10">
        <v>4922.9629999999997</v>
      </c>
      <c r="P53" s="2">
        <v>43094</v>
      </c>
      <c r="Q53" s="12">
        <v>40000</v>
      </c>
      <c r="R53" s="2">
        <v>147.0565</v>
      </c>
      <c r="S53" s="2">
        <v>1.0047999999999999</v>
      </c>
      <c r="T53" s="4">
        <v>6.9999999999999999E-4</v>
      </c>
      <c r="W53" t="s">
        <v>124</v>
      </c>
      <c r="X53" s="6">
        <v>51279.56</v>
      </c>
      <c r="Y53" s="6">
        <v>34051.103000000003</v>
      </c>
      <c r="Z53" s="6">
        <v>27914.536</v>
      </c>
      <c r="AA53" s="6">
        <v>27198.628000000001</v>
      </c>
      <c r="AB53" s="6">
        <v>23012.646000000001</v>
      </c>
      <c r="AC53" s="6">
        <v>19878.036</v>
      </c>
    </row>
    <row r="54" spans="1:29" x14ac:dyDescent="0.25">
      <c r="A54" s="2">
        <v>160</v>
      </c>
      <c r="B54" s="2" t="s">
        <v>337</v>
      </c>
      <c r="C54" s="2" t="s">
        <v>338</v>
      </c>
      <c r="D54" s="2" t="str">
        <f>VLOOKUP(C54,[2]world_pop.!$C:$E,3,FALSE)</f>
        <v>Africa</v>
      </c>
      <c r="E54" s="2">
        <v>1120.8489999999999</v>
      </c>
      <c r="F54" s="2">
        <v>1105.557</v>
      </c>
      <c r="G54" s="2">
        <v>1090.1559999999999</v>
      </c>
      <c r="H54" s="2">
        <v>1502.575</v>
      </c>
      <c r="I54" s="2">
        <v>1247.1289999999999</v>
      </c>
      <c r="J54" s="2">
        <v>1006.259</v>
      </c>
      <c r="K54" s="2">
        <v>919.19899999999996</v>
      </c>
      <c r="L54" s="2">
        <v>742.03300000000002</v>
      </c>
      <c r="M54" s="2">
        <v>577.173</v>
      </c>
      <c r="N54" s="2">
        <v>324.12099999999998</v>
      </c>
      <c r="O54" s="10">
        <v>144.37899999999999</v>
      </c>
      <c r="P54" s="2">
        <v>23200</v>
      </c>
      <c r="Q54" s="12">
        <v>23180</v>
      </c>
      <c r="R54" s="2">
        <v>48.354100000000003</v>
      </c>
      <c r="S54" s="2">
        <v>1.0138</v>
      </c>
      <c r="T54" s="4">
        <v>1E-4</v>
      </c>
      <c r="W54" t="s">
        <v>96</v>
      </c>
      <c r="X54" s="6">
        <v>45890.819000000003</v>
      </c>
      <c r="Y54" s="6">
        <v>41008.595999999998</v>
      </c>
      <c r="Z54" s="6">
        <v>38454.326999999997</v>
      </c>
      <c r="AA54" s="6">
        <v>38155.012000000002</v>
      </c>
      <c r="AB54" s="6">
        <v>35732.125999999997</v>
      </c>
      <c r="AC54" s="6">
        <v>33963.411999999997</v>
      </c>
    </row>
    <row r="55" spans="1:29" x14ac:dyDescent="0.25">
      <c r="A55" s="2">
        <v>204</v>
      </c>
      <c r="B55" s="2" t="s">
        <v>425</v>
      </c>
      <c r="C55" s="2" t="s">
        <v>426</v>
      </c>
      <c r="D55" s="2" t="str">
        <f>VLOOKUP(C55,[2]world_pop.!$C:$E,3,FALSE)</f>
        <v>North America</v>
      </c>
      <c r="E55" s="2">
        <v>72.736999999999995</v>
      </c>
      <c r="F55" s="2">
        <v>72.412000000000006</v>
      </c>
      <c r="G55" s="2">
        <v>71.995000000000005</v>
      </c>
      <c r="H55" s="2">
        <v>74.167000000000002</v>
      </c>
      <c r="I55" s="2">
        <v>74.988</v>
      </c>
      <c r="J55" s="2">
        <v>70.007000000000005</v>
      </c>
      <c r="K55" s="2">
        <v>68.754999999999995</v>
      </c>
      <c r="L55" s="2">
        <v>68.346000000000004</v>
      </c>
      <c r="M55" s="2">
        <v>69.480999999999995</v>
      </c>
      <c r="N55" s="2">
        <v>72.977999999999994</v>
      </c>
      <c r="O55" s="10">
        <v>68.894999999999996</v>
      </c>
      <c r="P55" s="2">
        <v>751</v>
      </c>
      <c r="Q55" s="12">
        <v>750</v>
      </c>
      <c r="R55" s="2">
        <v>96.982699999999994</v>
      </c>
      <c r="S55" s="2">
        <v>1.0044999999999999</v>
      </c>
      <c r="T55" s="4">
        <v>0</v>
      </c>
      <c r="W55" t="s">
        <v>360</v>
      </c>
      <c r="X55" s="6">
        <v>727.45699999999999</v>
      </c>
      <c r="Y55" s="6">
        <v>638.84</v>
      </c>
      <c r="Z55" s="6">
        <v>593.149</v>
      </c>
      <c r="AA55" s="6">
        <v>587.92499999999995</v>
      </c>
      <c r="AB55" s="6">
        <v>552.16600000000005</v>
      </c>
      <c r="AC55" s="6">
        <v>521.21199999999999</v>
      </c>
    </row>
    <row r="56" spans="1:29" x14ac:dyDescent="0.25">
      <c r="A56" s="2">
        <v>84</v>
      </c>
      <c r="B56" s="2" t="s">
        <v>185</v>
      </c>
      <c r="C56" s="2" t="s">
        <v>186</v>
      </c>
      <c r="D56" s="2" t="str">
        <f>VLOOKUP(C56,[2]world_pop.!$C:$E,3,FALSE)</f>
        <v>North America</v>
      </c>
      <c r="E56" s="2">
        <v>11228.821</v>
      </c>
      <c r="F56" s="2">
        <v>11117.873</v>
      </c>
      <c r="G56" s="2">
        <v>10999.664000000001</v>
      </c>
      <c r="H56" s="2">
        <v>13180.540999999999</v>
      </c>
      <c r="I56" s="2">
        <v>11982.522999999999</v>
      </c>
      <c r="J56" s="2">
        <v>10405.832</v>
      </c>
      <c r="K56" s="2">
        <v>9775.7549999999992</v>
      </c>
      <c r="L56" s="2">
        <v>8540.7909999999993</v>
      </c>
      <c r="M56" s="2">
        <v>7129.0039999999999</v>
      </c>
      <c r="N56" s="2">
        <v>5755.8</v>
      </c>
      <c r="O56" s="10">
        <v>4475.8710000000001</v>
      </c>
      <c r="P56" s="2">
        <v>48671</v>
      </c>
      <c r="Q56" s="12">
        <v>48310</v>
      </c>
      <c r="R56" s="2">
        <v>232.43260000000001</v>
      </c>
      <c r="S56" s="2">
        <v>1.01</v>
      </c>
      <c r="T56" s="4">
        <v>1.4E-3</v>
      </c>
      <c r="W56" t="s">
        <v>428</v>
      </c>
      <c r="X56" s="6">
        <v>77.632999999999996</v>
      </c>
      <c r="Y56" s="6">
        <v>72.864999999999995</v>
      </c>
      <c r="Z56" s="6">
        <v>68.706000000000003</v>
      </c>
      <c r="AA56" s="6">
        <v>68.135999999999996</v>
      </c>
      <c r="AB56" s="6">
        <v>60.911000000000001</v>
      </c>
      <c r="AC56" s="6">
        <v>54.073999999999998</v>
      </c>
    </row>
    <row r="57" spans="1:29" x14ac:dyDescent="0.25">
      <c r="A57" s="2">
        <v>15</v>
      </c>
      <c r="B57" s="2" t="s">
        <v>47</v>
      </c>
      <c r="C57" s="2" t="s">
        <v>48</v>
      </c>
      <c r="D57" s="2" t="str">
        <f>VLOOKUP(C57,[2]world_pop.!$C:$E,3,FALSE)</f>
        <v>Africa</v>
      </c>
      <c r="E57" s="2">
        <v>99010.212</v>
      </c>
      <c r="F57" s="2">
        <v>95894.118000000002</v>
      </c>
      <c r="G57" s="2">
        <v>92853.164000000004</v>
      </c>
      <c r="H57" s="2">
        <v>217494.003</v>
      </c>
      <c r="I57" s="2">
        <v>127582.053</v>
      </c>
      <c r="J57" s="2">
        <v>78656.903999999995</v>
      </c>
      <c r="K57" s="2">
        <v>66391.256999999998</v>
      </c>
      <c r="L57" s="2">
        <v>48616.317000000003</v>
      </c>
      <c r="M57" s="2">
        <v>35987.540999999997</v>
      </c>
      <c r="N57" s="2">
        <v>26708.686000000002</v>
      </c>
      <c r="O57" s="10">
        <v>20151.733</v>
      </c>
      <c r="P57" s="2">
        <v>2344858</v>
      </c>
      <c r="Q57" s="12">
        <v>2267050</v>
      </c>
      <c r="R57" s="2">
        <v>43.6736</v>
      </c>
      <c r="S57" s="2">
        <v>1.0325</v>
      </c>
      <c r="T57" s="4">
        <v>1.24E-2</v>
      </c>
      <c r="W57" t="s">
        <v>252</v>
      </c>
      <c r="X57" s="6">
        <v>11533.423000000001</v>
      </c>
      <c r="Y57" s="6">
        <v>7104.2740000000003</v>
      </c>
      <c r="Z57" s="6">
        <v>5579.1440000000002</v>
      </c>
      <c r="AA57" s="6">
        <v>5457.1540000000005</v>
      </c>
      <c r="AB57" s="6">
        <v>4819.3329999999996</v>
      </c>
      <c r="AC57" s="6">
        <v>4660.067</v>
      </c>
    </row>
    <row r="58" spans="1:29" x14ac:dyDescent="0.25">
      <c r="A58" s="2">
        <v>67</v>
      </c>
      <c r="B58" s="2" t="s">
        <v>151</v>
      </c>
      <c r="C58" s="2" t="s">
        <v>152</v>
      </c>
      <c r="D58" s="2" t="str">
        <f>VLOOKUP(C58,[2]world_pop.!$C:$E,3,FALSE)</f>
        <v>South America</v>
      </c>
      <c r="E58" s="2">
        <v>18001</v>
      </c>
      <c r="F58" s="2">
        <v>17797.737000000001</v>
      </c>
      <c r="G58" s="2">
        <v>17588.595000000001</v>
      </c>
      <c r="H58" s="2">
        <v>22269.778999999999</v>
      </c>
      <c r="I58" s="2">
        <v>19486.952000000001</v>
      </c>
      <c r="J58" s="2">
        <v>16195.902</v>
      </c>
      <c r="K58" s="2">
        <v>14989.584999999999</v>
      </c>
      <c r="L58" s="2">
        <v>12626.507</v>
      </c>
      <c r="M58" s="2">
        <v>10449.837</v>
      </c>
      <c r="N58" s="2">
        <v>8135.8450000000003</v>
      </c>
      <c r="O58" s="10">
        <v>6172.2150000000001</v>
      </c>
      <c r="P58" s="2">
        <v>276841</v>
      </c>
      <c r="Q58" s="12">
        <v>248360</v>
      </c>
      <c r="R58" s="2">
        <v>72.479500000000002</v>
      </c>
      <c r="S58" s="2">
        <v>1.0114000000000001</v>
      </c>
      <c r="T58" s="4">
        <v>2.3E-3</v>
      </c>
      <c r="W58" t="s">
        <v>156</v>
      </c>
      <c r="X58" s="6">
        <v>36452.035000000003</v>
      </c>
      <c r="Y58" s="6">
        <v>22460.393</v>
      </c>
      <c r="Z58" s="6">
        <v>17723.314999999999</v>
      </c>
      <c r="AA58" s="6">
        <v>17179.740000000002</v>
      </c>
      <c r="AB58" s="6">
        <v>14140.273999999999</v>
      </c>
      <c r="AC58" s="6">
        <v>11894.727000000001</v>
      </c>
    </row>
    <row r="59" spans="1:29" x14ac:dyDescent="0.25">
      <c r="A59" s="2">
        <v>14</v>
      </c>
      <c r="B59" s="2" t="s">
        <v>45</v>
      </c>
      <c r="C59" s="2" t="s">
        <v>46</v>
      </c>
      <c r="D59" s="2" t="str">
        <f>VLOOKUP(C59,[2]world_pop.!$C:$E,3,FALSE)</f>
        <v>Africa</v>
      </c>
      <c r="E59" s="2">
        <v>110990.103</v>
      </c>
      <c r="F59" s="2">
        <v>109262.178</v>
      </c>
      <c r="G59" s="2">
        <v>107465.13400000001</v>
      </c>
      <c r="H59" s="2">
        <v>160339.889</v>
      </c>
      <c r="I59" s="2">
        <v>125151.72500000001</v>
      </c>
      <c r="J59" s="2">
        <v>97723.798999999999</v>
      </c>
      <c r="K59" s="2">
        <v>87252.413</v>
      </c>
      <c r="L59" s="2">
        <v>71371.370999999999</v>
      </c>
      <c r="M59" s="2">
        <v>57214.63</v>
      </c>
      <c r="N59" s="2">
        <v>43748.555999999997</v>
      </c>
      <c r="O59" s="10">
        <v>34781.985999999997</v>
      </c>
      <c r="P59" s="2">
        <v>1002450</v>
      </c>
      <c r="Q59" s="12">
        <v>995450</v>
      </c>
      <c r="R59" s="2">
        <v>111.4974</v>
      </c>
      <c r="S59" s="2">
        <v>1.0158</v>
      </c>
      <c r="T59" s="4">
        <v>1.3899999999999999E-2</v>
      </c>
      <c r="W59" t="s">
        <v>148</v>
      </c>
      <c r="X59" s="6">
        <v>20675.378000000001</v>
      </c>
      <c r="Y59" s="6">
        <v>19933.769</v>
      </c>
      <c r="Z59" s="6">
        <v>19603.733</v>
      </c>
      <c r="AA59" s="6">
        <v>19493.184000000001</v>
      </c>
      <c r="AB59" s="6">
        <v>17870.124</v>
      </c>
      <c r="AC59" s="6">
        <v>17004.162</v>
      </c>
    </row>
    <row r="60" spans="1:29" x14ac:dyDescent="0.25">
      <c r="A60" s="2">
        <v>112</v>
      </c>
      <c r="B60" s="2" t="s">
        <v>241</v>
      </c>
      <c r="C60" s="2" t="s">
        <v>242</v>
      </c>
      <c r="D60" s="2" t="str">
        <f>VLOOKUP(C60,[2]world_pop.!$C:$E,3,FALSE)</f>
        <v>North America</v>
      </c>
      <c r="E60" s="2">
        <v>6336.3919999999998</v>
      </c>
      <c r="F60" s="2">
        <v>6314.1670000000004</v>
      </c>
      <c r="G60" s="2">
        <v>6292.7309999999998</v>
      </c>
      <c r="H60" s="2">
        <v>6636.8540000000003</v>
      </c>
      <c r="I60" s="2">
        <v>6554.2240000000002</v>
      </c>
      <c r="J60" s="2">
        <v>6231.0659999999998</v>
      </c>
      <c r="K60" s="2">
        <v>6114.0339999999997</v>
      </c>
      <c r="L60" s="2">
        <v>5958.482</v>
      </c>
      <c r="M60" s="2">
        <v>5367.1790000000001</v>
      </c>
      <c r="N60" s="2">
        <v>4508.9920000000002</v>
      </c>
      <c r="O60" s="10">
        <v>3619.09</v>
      </c>
      <c r="P60" s="2">
        <v>21041</v>
      </c>
      <c r="Q60" s="12">
        <v>20720</v>
      </c>
      <c r="R60" s="2">
        <v>305.81040000000002</v>
      </c>
      <c r="S60" s="2">
        <v>1.0035000000000001</v>
      </c>
      <c r="T60" s="4">
        <v>8.0000000000000004E-4</v>
      </c>
      <c r="W60" t="s">
        <v>20</v>
      </c>
      <c r="X60" s="6">
        <v>1312636.325</v>
      </c>
      <c r="Y60" s="6">
        <v>1415605.906</v>
      </c>
      <c r="Z60" s="6">
        <v>1425887.3370000001</v>
      </c>
      <c r="AA60" s="6">
        <v>1425893.4650000001</v>
      </c>
      <c r="AB60" s="6">
        <v>1393715.4480000001</v>
      </c>
      <c r="AC60" s="6">
        <v>1348191.368</v>
      </c>
    </row>
    <row r="61" spans="1:29" x14ac:dyDescent="0.25">
      <c r="A61" s="2">
        <v>152</v>
      </c>
      <c r="B61" s="2" t="s">
        <v>321</v>
      </c>
      <c r="C61" s="2" t="s">
        <v>322</v>
      </c>
      <c r="D61" s="2" t="str">
        <f>VLOOKUP(C61,[2]world_pop.!$C:$E,3,FALSE)</f>
        <v>Africa</v>
      </c>
      <c r="E61" s="2">
        <v>1674.9079999999999</v>
      </c>
      <c r="F61" s="2">
        <v>1634.4659999999999</v>
      </c>
      <c r="G61" s="2">
        <v>1596.049</v>
      </c>
      <c r="H61" s="2">
        <v>2790.5329999999999</v>
      </c>
      <c r="I61" s="2">
        <v>1999.6780000000001</v>
      </c>
      <c r="J61" s="2">
        <v>1346.973</v>
      </c>
      <c r="K61" s="2">
        <v>1094.5239999999999</v>
      </c>
      <c r="L61" s="2">
        <v>684.97699999999998</v>
      </c>
      <c r="M61" s="2">
        <v>465.54899999999998</v>
      </c>
      <c r="N61" s="2">
        <v>282.50900000000001</v>
      </c>
      <c r="O61" s="10">
        <v>316.95499999999998</v>
      </c>
      <c r="P61" s="2">
        <v>28051</v>
      </c>
      <c r="Q61" s="12">
        <v>28050</v>
      </c>
      <c r="R61" s="2">
        <v>59.711500000000001</v>
      </c>
      <c r="S61" s="2">
        <v>1.0246999999999999</v>
      </c>
      <c r="T61" s="4">
        <v>2.0000000000000001E-4</v>
      </c>
      <c r="W61" t="s">
        <v>74</v>
      </c>
      <c r="X61" s="6">
        <v>56987.650999999998</v>
      </c>
      <c r="Y61" s="6">
        <v>54129.764000000003</v>
      </c>
      <c r="Z61" s="6">
        <v>51874.023999999998</v>
      </c>
      <c r="AA61" s="6">
        <v>51516.561999999998</v>
      </c>
      <c r="AB61" s="6">
        <v>47119.728000000003</v>
      </c>
      <c r="AC61" s="6">
        <v>44816.108</v>
      </c>
    </row>
    <row r="62" spans="1:29" x14ac:dyDescent="0.25">
      <c r="A62" s="2">
        <v>132</v>
      </c>
      <c r="B62" s="2" t="s">
        <v>281</v>
      </c>
      <c r="C62" s="2" t="s">
        <v>282</v>
      </c>
      <c r="D62" s="2" t="str">
        <f>VLOOKUP(C62,[2]world_pop.!$C:$E,3,FALSE)</f>
        <v>Africa</v>
      </c>
      <c r="E62" s="2">
        <v>3684.0320000000002</v>
      </c>
      <c r="F62" s="2">
        <v>3620.3119999999999</v>
      </c>
      <c r="G62" s="2">
        <v>3555.8679999999999</v>
      </c>
      <c r="H62" s="2">
        <v>5964.0209999999997</v>
      </c>
      <c r="I62" s="2">
        <v>4283.3549999999996</v>
      </c>
      <c r="J62" s="2">
        <v>3340.0059999999999</v>
      </c>
      <c r="K62" s="2">
        <v>3147.7269999999999</v>
      </c>
      <c r="L62" s="2">
        <v>2392.88</v>
      </c>
      <c r="M62" s="2">
        <v>2149.96</v>
      </c>
      <c r="N62" s="2">
        <v>1657.982</v>
      </c>
      <c r="O62" s="10">
        <v>1272.748</v>
      </c>
      <c r="P62" s="2">
        <v>117600</v>
      </c>
      <c r="Q62" s="12">
        <v>121040.8</v>
      </c>
      <c r="R62" s="2">
        <v>30.436299999999999</v>
      </c>
      <c r="S62" s="2">
        <v>1.0176000000000001</v>
      </c>
      <c r="T62" s="4">
        <v>5.0000000000000001E-4</v>
      </c>
      <c r="W62" t="s">
        <v>344</v>
      </c>
      <c r="X62" s="6">
        <v>1246.2070000000001</v>
      </c>
      <c r="Y62" s="6">
        <v>959.41200000000003</v>
      </c>
      <c r="Z62" s="6">
        <v>836.774</v>
      </c>
      <c r="AA62" s="6">
        <v>821.625</v>
      </c>
      <c r="AB62" s="6">
        <v>730.21600000000001</v>
      </c>
      <c r="AC62" s="6">
        <v>656.024</v>
      </c>
    </row>
    <row r="63" spans="1:29" x14ac:dyDescent="0.25">
      <c r="A63" s="2">
        <v>156</v>
      </c>
      <c r="B63" s="2" t="s">
        <v>329</v>
      </c>
      <c r="C63" s="2" t="s">
        <v>330</v>
      </c>
      <c r="D63" s="2" t="str">
        <f>VLOOKUP(C63,[2]world_pop.!$C:$E,3,FALSE)</f>
        <v>Europe</v>
      </c>
      <c r="E63" s="2">
        <v>1326.0619999999999</v>
      </c>
      <c r="F63" s="2">
        <v>1328.701</v>
      </c>
      <c r="G63" s="2">
        <v>1329.444</v>
      </c>
      <c r="H63" s="2">
        <v>1171.6949999999999</v>
      </c>
      <c r="I63" s="2">
        <v>1289.441</v>
      </c>
      <c r="J63" s="2">
        <v>1314.6569999999999</v>
      </c>
      <c r="K63" s="2">
        <v>1331.5350000000001</v>
      </c>
      <c r="L63" s="2">
        <v>1396.877</v>
      </c>
      <c r="M63" s="2">
        <v>1570.674</v>
      </c>
      <c r="N63" s="2">
        <v>1476.9829999999999</v>
      </c>
      <c r="O63" s="10">
        <v>1361.999</v>
      </c>
      <c r="P63" s="2">
        <v>45227</v>
      </c>
      <c r="Q63" s="12">
        <v>42750</v>
      </c>
      <c r="R63" s="2">
        <v>31.018999999999998</v>
      </c>
      <c r="S63" s="2">
        <v>0.998</v>
      </c>
      <c r="T63" s="4">
        <v>2.0000000000000001E-4</v>
      </c>
      <c r="W63" t="s">
        <v>464</v>
      </c>
      <c r="X63" s="6">
        <v>17.673999999999999</v>
      </c>
      <c r="Y63" s="6">
        <v>17.253</v>
      </c>
      <c r="Z63" s="6">
        <v>17.010999999999999</v>
      </c>
      <c r="AA63" s="6">
        <v>17.003</v>
      </c>
      <c r="AB63" s="6">
        <v>17.695</v>
      </c>
      <c r="AC63" s="6">
        <v>17.212</v>
      </c>
    </row>
    <row r="64" spans="1:29" x14ac:dyDescent="0.25">
      <c r="A64" s="2">
        <v>159</v>
      </c>
      <c r="B64" s="2" t="s">
        <v>335</v>
      </c>
      <c r="C64" s="2" t="s">
        <v>336</v>
      </c>
      <c r="D64" s="2" t="str">
        <f>VLOOKUP(C64,[2]world_pop.!$C:$E,3,FALSE)</f>
        <v>Africa</v>
      </c>
      <c r="E64" s="2">
        <v>1201.67</v>
      </c>
      <c r="F64" s="2">
        <v>1192.271</v>
      </c>
      <c r="G64" s="2">
        <v>1180.655</v>
      </c>
      <c r="H64" s="2">
        <v>1655.1210000000001</v>
      </c>
      <c r="I64" s="2">
        <v>1305.9849999999999</v>
      </c>
      <c r="J64" s="2">
        <v>1133.9359999999999</v>
      </c>
      <c r="K64" s="2">
        <v>1099.92</v>
      </c>
      <c r="L64" s="2">
        <v>1030.4960000000001</v>
      </c>
      <c r="M64" s="2">
        <v>854.01099999999997</v>
      </c>
      <c r="N64" s="2">
        <v>598.56399999999996</v>
      </c>
      <c r="O64" s="10">
        <v>442.86500000000001</v>
      </c>
      <c r="P64" s="2">
        <v>17364</v>
      </c>
      <c r="Q64" s="12">
        <v>17200</v>
      </c>
      <c r="R64" s="2">
        <v>69.864500000000007</v>
      </c>
      <c r="S64" s="2">
        <v>1.0079</v>
      </c>
      <c r="T64" s="4">
        <v>2.0000000000000001E-4</v>
      </c>
      <c r="W64" t="s">
        <v>266</v>
      </c>
      <c r="X64" s="6">
        <v>5702.5249999999996</v>
      </c>
      <c r="Y64" s="6">
        <v>5432.2430000000004</v>
      </c>
      <c r="Z64" s="6">
        <v>5180.8289999999997</v>
      </c>
      <c r="AA64" s="6">
        <v>5153.9570000000003</v>
      </c>
      <c r="AB64" s="6">
        <v>4895.2420000000002</v>
      </c>
      <c r="AC64" s="6">
        <v>4622.2520000000004</v>
      </c>
    </row>
    <row r="65" spans="1:29" x14ac:dyDescent="0.25">
      <c r="A65" s="2">
        <v>12</v>
      </c>
      <c r="B65" s="2" t="s">
        <v>41</v>
      </c>
      <c r="C65" s="2" t="s">
        <v>42</v>
      </c>
      <c r="D65" s="2" t="str">
        <f>VLOOKUP(C65,[2]world_pop.!$C:$E,3,FALSE)</f>
        <v>Africa</v>
      </c>
      <c r="E65" s="2">
        <v>123379.924</v>
      </c>
      <c r="F65" s="2">
        <v>120283.026</v>
      </c>
      <c r="G65" s="2">
        <v>117190.91099999999</v>
      </c>
      <c r="H65" s="2">
        <v>214812.30900000001</v>
      </c>
      <c r="I65" s="2">
        <v>149296.378</v>
      </c>
      <c r="J65" s="2">
        <v>102471.895</v>
      </c>
      <c r="K65" s="2">
        <v>89237.790999999997</v>
      </c>
      <c r="L65" s="2">
        <v>67031.866999999998</v>
      </c>
      <c r="M65" s="2">
        <v>47878.072999999997</v>
      </c>
      <c r="N65" s="2">
        <v>34945.468999999997</v>
      </c>
      <c r="O65" s="10">
        <v>28308.245999999999</v>
      </c>
      <c r="P65" s="2">
        <v>1104300</v>
      </c>
      <c r="Q65" s="12">
        <v>1128571.3</v>
      </c>
      <c r="R65" s="2">
        <v>109.324</v>
      </c>
      <c r="S65" s="2">
        <v>1.0257000000000001</v>
      </c>
      <c r="T65" s="4">
        <v>1.55E-2</v>
      </c>
      <c r="W65" t="s">
        <v>278</v>
      </c>
      <c r="X65" s="6">
        <v>3333.4250000000002</v>
      </c>
      <c r="Y65" s="6">
        <v>3850.14</v>
      </c>
      <c r="Z65" s="6">
        <v>4030.3580000000002</v>
      </c>
      <c r="AA65" s="6">
        <v>4060.1350000000002</v>
      </c>
      <c r="AB65" s="6">
        <v>4254.8149999999996</v>
      </c>
      <c r="AC65" s="6">
        <v>4368.6819999999998</v>
      </c>
    </row>
    <row r="66" spans="1:29" x14ac:dyDescent="0.25">
      <c r="A66" s="2">
        <v>231</v>
      </c>
      <c r="B66" s="2" t="s">
        <v>479</v>
      </c>
      <c r="C66" s="2" t="s">
        <v>480</v>
      </c>
      <c r="D66" s="2" t="str">
        <f>VLOOKUP(C66,[2]world_pop.!$C:$E,3,FALSE)</f>
        <v>South America</v>
      </c>
      <c r="E66" s="2">
        <v>3.78</v>
      </c>
      <c r="F66" s="2">
        <v>3.7639999999999998</v>
      </c>
      <c r="G66" s="2">
        <v>3.7469999999999999</v>
      </c>
      <c r="H66" s="2">
        <v>3.7789999999999999</v>
      </c>
      <c r="I66" s="2">
        <v>3.8690000000000002</v>
      </c>
      <c r="J66" s="2">
        <v>3.4079999999999999</v>
      </c>
      <c r="K66" s="2">
        <v>3.1869999999999998</v>
      </c>
      <c r="L66" s="2">
        <v>3.08</v>
      </c>
      <c r="M66" s="2">
        <v>2.3319999999999999</v>
      </c>
      <c r="N66" s="2">
        <v>2.2400000000000002</v>
      </c>
      <c r="O66" s="10">
        <v>2.274</v>
      </c>
      <c r="P66" s="2">
        <v>12173</v>
      </c>
      <c r="Q66" s="12">
        <v>12173</v>
      </c>
      <c r="R66" s="2">
        <v>0.3105</v>
      </c>
      <c r="S66" s="2">
        <v>1.0043</v>
      </c>
      <c r="T66" s="4">
        <v>0</v>
      </c>
      <c r="W66" t="s">
        <v>188</v>
      </c>
      <c r="X66" s="6">
        <v>10028.084999999999</v>
      </c>
      <c r="Y66" s="6">
        <v>11016.040999999999</v>
      </c>
      <c r="Z66" s="6">
        <v>11212.191000000001</v>
      </c>
      <c r="AA66" s="6">
        <v>11256.371999999999</v>
      </c>
      <c r="AB66" s="6">
        <v>11339.894</v>
      </c>
      <c r="AC66" s="6">
        <v>11290.416999999999</v>
      </c>
    </row>
    <row r="67" spans="1:29" x14ac:dyDescent="0.25">
      <c r="A67" s="2">
        <v>209</v>
      </c>
      <c r="B67" s="2" t="s">
        <v>435</v>
      </c>
      <c r="C67" s="2" t="s">
        <v>436</v>
      </c>
      <c r="D67" s="2" t="str">
        <f>VLOOKUP(C67,[2]world_pop.!$C:$E,3,FALSE)</f>
        <v>Europe</v>
      </c>
      <c r="E67" s="2">
        <v>53.09</v>
      </c>
      <c r="F67" s="2">
        <v>52.889000000000003</v>
      </c>
      <c r="G67" s="2">
        <v>52.414999999999999</v>
      </c>
      <c r="H67" s="2">
        <v>59.444000000000003</v>
      </c>
      <c r="I67" s="2">
        <v>54.582999999999998</v>
      </c>
      <c r="J67" s="2">
        <v>48.816000000000003</v>
      </c>
      <c r="K67" s="2">
        <v>48.41</v>
      </c>
      <c r="L67" s="2">
        <v>45.66</v>
      </c>
      <c r="M67" s="2">
        <v>47.478999999999999</v>
      </c>
      <c r="N67" s="2">
        <v>43.054000000000002</v>
      </c>
      <c r="O67" s="10">
        <v>38.415999999999997</v>
      </c>
      <c r="P67" s="2">
        <v>1393</v>
      </c>
      <c r="Q67" s="12">
        <v>1366</v>
      </c>
      <c r="R67" s="2">
        <v>38.865299999999998</v>
      </c>
      <c r="S67" s="2">
        <v>1.0038</v>
      </c>
      <c r="T67" s="4">
        <v>0</v>
      </c>
      <c r="W67" t="s">
        <v>396</v>
      </c>
      <c r="X67" s="6">
        <v>204.084</v>
      </c>
      <c r="Y67" s="6">
        <v>197.82900000000001</v>
      </c>
      <c r="Z67" s="6">
        <v>191.16300000000001</v>
      </c>
      <c r="AA67" s="6">
        <v>190.33799999999999</v>
      </c>
      <c r="AB67" s="6">
        <v>169.572</v>
      </c>
      <c r="AC67" s="6">
        <v>159.38</v>
      </c>
    </row>
    <row r="68" spans="1:29" x14ac:dyDescent="0.25">
      <c r="A68" s="2">
        <v>162</v>
      </c>
      <c r="B68" s="2" t="s">
        <v>341</v>
      </c>
      <c r="C68" s="2" t="s">
        <v>342</v>
      </c>
      <c r="D68" s="2" t="str">
        <f>VLOOKUP(C68,[2]world_pop.!$C:$E,3,FALSE)</f>
        <v>Oceania</v>
      </c>
      <c r="E68" s="2">
        <v>929.76599999999996</v>
      </c>
      <c r="F68" s="2">
        <v>924.61</v>
      </c>
      <c r="G68" s="2">
        <v>920.42200000000003</v>
      </c>
      <c r="H68" s="2">
        <v>1094.174</v>
      </c>
      <c r="I68" s="2">
        <v>986.17200000000003</v>
      </c>
      <c r="J68" s="2">
        <v>917.2</v>
      </c>
      <c r="K68" s="2">
        <v>905.16899999999998</v>
      </c>
      <c r="L68" s="2">
        <v>832.50900000000001</v>
      </c>
      <c r="M68" s="2">
        <v>780.43</v>
      </c>
      <c r="N68" s="2">
        <v>644.58199999999999</v>
      </c>
      <c r="O68" s="10">
        <v>527.63400000000001</v>
      </c>
      <c r="P68" s="2">
        <v>18272</v>
      </c>
      <c r="Q68" s="12">
        <v>18270</v>
      </c>
      <c r="R68" s="2">
        <v>50.890300000000003</v>
      </c>
      <c r="S68" s="2">
        <v>1.0056</v>
      </c>
      <c r="T68" s="4">
        <v>1E-4</v>
      </c>
      <c r="W68" t="s">
        <v>334</v>
      </c>
      <c r="X68" s="6">
        <v>1391.7850000000001</v>
      </c>
      <c r="Y68" s="6">
        <v>1311.7840000000001</v>
      </c>
      <c r="Z68" s="6">
        <v>1251.4880000000001</v>
      </c>
      <c r="AA68" s="6">
        <v>1244.1880000000001</v>
      </c>
      <c r="AB68" s="6">
        <v>1187.28</v>
      </c>
      <c r="AC68" s="6">
        <v>1129.6859999999999</v>
      </c>
    </row>
    <row r="69" spans="1:29" x14ac:dyDescent="0.25">
      <c r="A69" s="2">
        <v>118</v>
      </c>
      <c r="B69" s="2" t="s">
        <v>253</v>
      </c>
      <c r="C69" s="2" t="s">
        <v>254</v>
      </c>
      <c r="D69" s="2" t="str">
        <f>VLOOKUP(C69,[2]world_pop.!$C:$E,3,FALSE)</f>
        <v>Europe</v>
      </c>
      <c r="E69" s="2">
        <v>5540.7449999999999</v>
      </c>
      <c r="F69" s="2">
        <v>5535.9920000000002</v>
      </c>
      <c r="G69" s="2">
        <v>5529.4679999999998</v>
      </c>
      <c r="H69" s="2">
        <v>5460.9170000000004</v>
      </c>
      <c r="I69" s="2">
        <v>5565.4750000000004</v>
      </c>
      <c r="J69" s="2">
        <v>5479.4610000000002</v>
      </c>
      <c r="K69" s="2">
        <v>5363.2709999999997</v>
      </c>
      <c r="L69" s="2">
        <v>5176.2089999999998</v>
      </c>
      <c r="M69" s="2">
        <v>4986.5450000000001</v>
      </c>
      <c r="N69" s="2">
        <v>4779.4179999999997</v>
      </c>
      <c r="O69" s="10">
        <v>4606.6210000000001</v>
      </c>
      <c r="P69" s="2">
        <v>338424</v>
      </c>
      <c r="Q69" s="12">
        <v>303940</v>
      </c>
      <c r="R69" s="2">
        <v>18.229700000000001</v>
      </c>
      <c r="S69" s="2">
        <v>1.0008999999999999</v>
      </c>
      <c r="T69" s="4">
        <v>6.9999999999999999E-4</v>
      </c>
      <c r="W69" t="s">
        <v>194</v>
      </c>
      <c r="X69" s="6">
        <v>10577.126</v>
      </c>
      <c r="Y69" s="6">
        <v>10515.199000000001</v>
      </c>
      <c r="Z69" s="6">
        <v>10493.986000000001</v>
      </c>
      <c r="AA69" s="6">
        <v>10510.751</v>
      </c>
      <c r="AB69" s="6">
        <v>10523.798000000001</v>
      </c>
      <c r="AC69" s="6">
        <v>10464.749</v>
      </c>
    </row>
    <row r="70" spans="1:29" x14ac:dyDescent="0.25">
      <c r="A70" s="2">
        <v>23</v>
      </c>
      <c r="B70" s="2" t="s">
        <v>63</v>
      </c>
      <c r="C70" s="2" t="s">
        <v>64</v>
      </c>
      <c r="D70" s="2" t="str">
        <f>VLOOKUP(C70,[2]world_pop.!$C:$E,3,FALSE)</f>
        <v>Europe</v>
      </c>
      <c r="E70" s="2">
        <v>64626.627999999997</v>
      </c>
      <c r="F70" s="2">
        <v>64531.444000000003</v>
      </c>
      <c r="G70" s="2">
        <v>64480.053</v>
      </c>
      <c r="H70" s="2">
        <v>65827.072</v>
      </c>
      <c r="I70" s="2">
        <v>65543.452000000005</v>
      </c>
      <c r="J70" s="2">
        <v>63809.769</v>
      </c>
      <c r="K70" s="2">
        <v>62444.567000000003</v>
      </c>
      <c r="L70" s="2">
        <v>58665.453000000001</v>
      </c>
      <c r="M70" s="2">
        <v>56412.896999999997</v>
      </c>
      <c r="N70" s="2">
        <v>53713.83</v>
      </c>
      <c r="O70" s="10">
        <v>50523.586000000003</v>
      </c>
      <c r="P70" s="2">
        <v>551695</v>
      </c>
      <c r="Q70" s="12">
        <v>547557</v>
      </c>
      <c r="R70" s="2">
        <v>118.02719999999999</v>
      </c>
      <c r="S70" s="2">
        <v>1.0015000000000001</v>
      </c>
      <c r="T70" s="4">
        <v>8.0999999999999996E-3</v>
      </c>
      <c r="W70" t="s">
        <v>248</v>
      </c>
      <c r="X70" s="6">
        <v>6445.1090000000004</v>
      </c>
      <c r="Y70" s="6">
        <v>6104.4740000000002</v>
      </c>
      <c r="Z70" s="6">
        <v>5882.2610000000004</v>
      </c>
      <c r="AA70" s="6">
        <v>5854.24</v>
      </c>
      <c r="AB70" s="6">
        <v>5677.7960000000003</v>
      </c>
      <c r="AC70" s="6">
        <v>5550.8490000000002</v>
      </c>
    </row>
    <row r="71" spans="1:29" x14ac:dyDescent="0.25">
      <c r="A71" s="2">
        <v>184</v>
      </c>
      <c r="B71" s="2" t="s">
        <v>385</v>
      </c>
      <c r="C71" s="2" t="s">
        <v>386</v>
      </c>
      <c r="D71" s="2" t="str">
        <f>VLOOKUP(C71,[2]world_pop.!$C:$E,3,FALSE)</f>
        <v>South America</v>
      </c>
      <c r="E71" s="2">
        <v>304.55700000000002</v>
      </c>
      <c r="F71" s="2">
        <v>297.44900000000001</v>
      </c>
      <c r="G71" s="2">
        <v>290.96899999999999</v>
      </c>
      <c r="H71" s="2">
        <v>532.45899999999995</v>
      </c>
      <c r="I71" s="2">
        <v>366.66899999999998</v>
      </c>
      <c r="J71" s="2">
        <v>257.02600000000001</v>
      </c>
      <c r="K71" s="2">
        <v>228.453</v>
      </c>
      <c r="L71" s="2">
        <v>164.351</v>
      </c>
      <c r="M71" s="2">
        <v>113.931</v>
      </c>
      <c r="N71" s="2">
        <v>66.825000000000003</v>
      </c>
      <c r="O71" s="10">
        <v>46.484000000000002</v>
      </c>
      <c r="P71" s="2">
        <v>83534</v>
      </c>
      <c r="Q71" s="12">
        <v>83534</v>
      </c>
      <c r="R71" s="2">
        <v>3.6459000000000001</v>
      </c>
      <c r="S71" s="2">
        <v>1.0239</v>
      </c>
      <c r="T71" s="4">
        <v>0</v>
      </c>
      <c r="W71" t="s">
        <v>338</v>
      </c>
      <c r="X71" s="6">
        <v>1502.575</v>
      </c>
      <c r="Y71" s="6">
        <v>1247.1289999999999</v>
      </c>
      <c r="Z71" s="6">
        <v>1120.8489999999999</v>
      </c>
      <c r="AA71" s="6">
        <v>1105.557</v>
      </c>
      <c r="AB71" s="6">
        <v>1006.259</v>
      </c>
      <c r="AC71" s="6">
        <v>919.19899999999996</v>
      </c>
    </row>
    <row r="72" spans="1:29" x14ac:dyDescent="0.25">
      <c r="A72" s="2">
        <v>183</v>
      </c>
      <c r="B72" s="2" t="s">
        <v>383</v>
      </c>
      <c r="C72" s="2" t="s">
        <v>384</v>
      </c>
      <c r="D72" s="2" t="str">
        <f>VLOOKUP(C72,[2]world_pop.!$C:$E,3,FALSE)</f>
        <v>Oceania</v>
      </c>
      <c r="E72" s="2">
        <v>306.279</v>
      </c>
      <c r="F72" s="2">
        <v>304.03199999999998</v>
      </c>
      <c r="G72" s="2">
        <v>301.92</v>
      </c>
      <c r="H72" s="2">
        <v>346.93299999999999</v>
      </c>
      <c r="I72" s="2">
        <v>324.86</v>
      </c>
      <c r="J72" s="2">
        <v>291.78699999999998</v>
      </c>
      <c r="K72" s="2">
        <v>283.78800000000001</v>
      </c>
      <c r="L72" s="2">
        <v>250.92699999999999</v>
      </c>
      <c r="M72" s="2">
        <v>211.089</v>
      </c>
      <c r="N72" s="2">
        <v>163.59100000000001</v>
      </c>
      <c r="O72" s="10">
        <v>117.89100000000001</v>
      </c>
      <c r="P72" s="2">
        <v>4167</v>
      </c>
      <c r="Q72" s="12">
        <v>3471</v>
      </c>
      <c r="R72" s="2">
        <v>88.239400000000003</v>
      </c>
      <c r="S72" s="2">
        <v>1.0074000000000001</v>
      </c>
      <c r="T72" s="4">
        <v>0</v>
      </c>
      <c r="W72" t="s">
        <v>426</v>
      </c>
      <c r="X72" s="6">
        <v>74.167000000000002</v>
      </c>
      <c r="Y72" s="6">
        <v>74.988</v>
      </c>
      <c r="Z72" s="6">
        <v>72.736999999999995</v>
      </c>
      <c r="AA72" s="6">
        <v>72.412000000000006</v>
      </c>
      <c r="AB72" s="6">
        <v>70.007000000000005</v>
      </c>
      <c r="AC72" s="6">
        <v>68.754999999999995</v>
      </c>
    </row>
    <row r="73" spans="1:29" x14ac:dyDescent="0.25">
      <c r="A73" s="2">
        <v>146</v>
      </c>
      <c r="B73" s="2" t="s">
        <v>309</v>
      </c>
      <c r="C73" s="2" t="s">
        <v>310</v>
      </c>
      <c r="D73" s="2" t="str">
        <f>VLOOKUP(C73,[2]world_pop.!$C:$E,3,FALSE)</f>
        <v>Africa</v>
      </c>
      <c r="E73" s="2">
        <v>2388.9920000000002</v>
      </c>
      <c r="F73" s="2">
        <v>2341.1790000000001</v>
      </c>
      <c r="G73" s="2">
        <v>2292.5729999999999</v>
      </c>
      <c r="H73" s="2">
        <v>3757.0529999999999</v>
      </c>
      <c r="I73" s="2">
        <v>2774.5230000000001</v>
      </c>
      <c r="J73" s="2">
        <v>2028.5170000000001</v>
      </c>
      <c r="K73" s="2">
        <v>1711.105</v>
      </c>
      <c r="L73" s="2">
        <v>1272.9349999999999</v>
      </c>
      <c r="M73" s="2">
        <v>983.02800000000002</v>
      </c>
      <c r="N73" s="2">
        <v>749.07799999999997</v>
      </c>
      <c r="O73" s="10">
        <v>597.19200000000001</v>
      </c>
      <c r="P73" s="2">
        <v>267668</v>
      </c>
      <c r="Q73" s="12">
        <v>257670</v>
      </c>
      <c r="R73" s="2">
        <v>9.2714999999999996</v>
      </c>
      <c r="S73" s="2">
        <v>1.0204</v>
      </c>
      <c r="T73" s="4">
        <v>2.9999999999999997E-4</v>
      </c>
      <c r="W73" t="s">
        <v>186</v>
      </c>
      <c r="X73" s="6">
        <v>13180.540999999999</v>
      </c>
      <c r="Y73" s="6">
        <v>11982.522999999999</v>
      </c>
      <c r="Z73" s="6">
        <v>11228.821</v>
      </c>
      <c r="AA73" s="6">
        <v>11117.873</v>
      </c>
      <c r="AB73" s="6">
        <v>10405.832</v>
      </c>
      <c r="AC73" s="6">
        <v>9775.7549999999992</v>
      </c>
    </row>
    <row r="74" spans="1:29" x14ac:dyDescent="0.25">
      <c r="A74" s="2">
        <v>142</v>
      </c>
      <c r="B74" s="2" t="s">
        <v>301</v>
      </c>
      <c r="C74" s="2" t="s">
        <v>302</v>
      </c>
      <c r="D74" s="2" t="str">
        <f>VLOOKUP(C74,[2]world_pop.!$C:$E,3,FALSE)</f>
        <v>Africa</v>
      </c>
      <c r="E74" s="2">
        <v>2705.9920000000002</v>
      </c>
      <c r="F74" s="2">
        <v>2639.9160000000002</v>
      </c>
      <c r="G74" s="2">
        <v>2573.9949999999999</v>
      </c>
      <c r="H74" s="2">
        <v>4673.7430000000004</v>
      </c>
      <c r="I74" s="2">
        <v>3263.6509999999998</v>
      </c>
      <c r="J74" s="2">
        <v>2253.1329999999998</v>
      </c>
      <c r="K74" s="2">
        <v>1937.2750000000001</v>
      </c>
      <c r="L74" s="2">
        <v>1437.539</v>
      </c>
      <c r="M74" s="2">
        <v>1040.616</v>
      </c>
      <c r="N74" s="2">
        <v>718.58600000000001</v>
      </c>
      <c r="O74" s="10">
        <v>528.73099999999999</v>
      </c>
      <c r="P74" s="2">
        <v>10689</v>
      </c>
      <c r="Q74" s="12">
        <v>10120</v>
      </c>
      <c r="R74" s="2">
        <v>267.39049999999997</v>
      </c>
      <c r="S74" s="2">
        <v>1.0249999999999999</v>
      </c>
      <c r="T74" s="4">
        <v>2.9999999999999997E-4</v>
      </c>
      <c r="W74" t="s">
        <v>48</v>
      </c>
      <c r="X74" s="6">
        <v>217494.003</v>
      </c>
      <c r="Y74" s="6">
        <v>127582.053</v>
      </c>
      <c r="Z74" s="6">
        <v>99010.212</v>
      </c>
      <c r="AA74" s="6">
        <v>95894.118000000002</v>
      </c>
      <c r="AB74" s="6">
        <v>78656.903999999995</v>
      </c>
      <c r="AC74" s="6">
        <v>66391.256999999998</v>
      </c>
    </row>
    <row r="75" spans="1:29" x14ac:dyDescent="0.25">
      <c r="A75" s="2">
        <v>131</v>
      </c>
      <c r="B75" s="2" t="s">
        <v>279</v>
      </c>
      <c r="C75" s="2" t="s">
        <v>280</v>
      </c>
      <c r="D75" s="2" t="str">
        <f>VLOOKUP(C75,[2]world_pop.!$C:$E,3,FALSE)</f>
        <v>Asia</v>
      </c>
      <c r="E75" s="2">
        <v>3744.3850000000002</v>
      </c>
      <c r="F75" s="2">
        <v>3757.98</v>
      </c>
      <c r="G75" s="2">
        <v>3765.9119999999998</v>
      </c>
      <c r="H75" s="2">
        <v>3384.66</v>
      </c>
      <c r="I75" s="2">
        <v>3657.4940000000001</v>
      </c>
      <c r="J75" s="2">
        <v>3771.1320000000001</v>
      </c>
      <c r="K75" s="2">
        <v>3836.8310000000001</v>
      </c>
      <c r="L75" s="2">
        <v>4265.1719999999996</v>
      </c>
      <c r="M75" s="2">
        <v>5391.6360000000004</v>
      </c>
      <c r="N75" s="2">
        <v>5145.8429999999998</v>
      </c>
      <c r="O75" s="10">
        <v>4800.4260000000004</v>
      </c>
      <c r="P75" s="2">
        <v>69700</v>
      </c>
      <c r="Q75" s="12">
        <v>69490</v>
      </c>
      <c r="R75" s="2">
        <v>53.883800000000001</v>
      </c>
      <c r="S75" s="2">
        <v>0.99639999999999995</v>
      </c>
      <c r="T75" s="4">
        <v>5.0000000000000001E-4</v>
      </c>
      <c r="W75" t="s">
        <v>152</v>
      </c>
      <c r="X75" s="6">
        <v>22269.778999999999</v>
      </c>
      <c r="Y75" s="6">
        <v>19486.952000000001</v>
      </c>
      <c r="Z75" s="6">
        <v>18001</v>
      </c>
      <c r="AA75" s="6">
        <v>17797.737000000001</v>
      </c>
      <c r="AB75" s="6">
        <v>16195.902</v>
      </c>
      <c r="AC75" s="6">
        <v>14989.584999999999</v>
      </c>
    </row>
    <row r="76" spans="1:29" x14ac:dyDescent="0.25">
      <c r="A76" s="2">
        <v>19</v>
      </c>
      <c r="B76" s="2" t="s">
        <v>55</v>
      </c>
      <c r="C76" s="2" t="s">
        <v>56</v>
      </c>
      <c r="D76" s="2" t="str">
        <f>VLOOKUP(C76,[2]world_pop.!$C:$E,3,FALSE)</f>
        <v>Europe</v>
      </c>
      <c r="E76" s="2">
        <v>83369.842999999993</v>
      </c>
      <c r="F76" s="2">
        <v>83408.554000000004</v>
      </c>
      <c r="G76" s="2">
        <v>83328.987999999998</v>
      </c>
      <c r="H76" s="2">
        <v>78932.228000000003</v>
      </c>
      <c r="I76" s="2">
        <v>82762.675000000003</v>
      </c>
      <c r="J76" s="2">
        <v>82073.225999999995</v>
      </c>
      <c r="K76" s="2">
        <v>81325.09</v>
      </c>
      <c r="L76" s="2">
        <v>81551.676999999996</v>
      </c>
      <c r="M76" s="2">
        <v>79370.195999999996</v>
      </c>
      <c r="N76" s="2">
        <v>77786.702999999994</v>
      </c>
      <c r="O76" s="10">
        <v>78294.582999999999</v>
      </c>
      <c r="P76" s="2">
        <v>357114</v>
      </c>
      <c r="Q76" s="12">
        <v>349390</v>
      </c>
      <c r="R76" s="2">
        <v>238.61539999999999</v>
      </c>
      <c r="S76" s="2">
        <v>0.99950000000000006</v>
      </c>
      <c r="T76" s="4">
        <v>1.0500000000000001E-2</v>
      </c>
      <c r="W76" t="s">
        <v>46</v>
      </c>
      <c r="X76" s="6">
        <v>160339.889</v>
      </c>
      <c r="Y76" s="6">
        <v>125151.72500000001</v>
      </c>
      <c r="Z76" s="6">
        <v>110990.103</v>
      </c>
      <c r="AA76" s="6">
        <v>109262.178</v>
      </c>
      <c r="AB76" s="6">
        <v>97723.798999999999</v>
      </c>
      <c r="AC76" s="6">
        <v>87252.413</v>
      </c>
    </row>
    <row r="77" spans="1:29" x14ac:dyDescent="0.25">
      <c r="A77" s="2">
        <v>47</v>
      </c>
      <c r="B77" s="2" t="s">
        <v>111</v>
      </c>
      <c r="C77" s="2" t="s">
        <v>112</v>
      </c>
      <c r="D77" s="2" t="str">
        <f>VLOOKUP(C77,[2]world_pop.!$C:$E,3,FALSE)</f>
        <v>Africa</v>
      </c>
      <c r="E77" s="2">
        <v>33475.870000000003</v>
      </c>
      <c r="F77" s="2">
        <v>32833.031000000003</v>
      </c>
      <c r="G77" s="2">
        <v>32180.401000000002</v>
      </c>
      <c r="H77" s="2">
        <v>52231.785000000003</v>
      </c>
      <c r="I77" s="2">
        <v>38775.85</v>
      </c>
      <c r="J77" s="2">
        <v>28870.938999999998</v>
      </c>
      <c r="K77" s="2">
        <v>25574.719000000001</v>
      </c>
      <c r="L77" s="2">
        <v>19665.502</v>
      </c>
      <c r="M77" s="2">
        <v>15446.982</v>
      </c>
      <c r="N77" s="2">
        <v>11865.245999999999</v>
      </c>
      <c r="O77" s="10">
        <v>8861.8950000000004</v>
      </c>
      <c r="P77" s="2">
        <v>238533</v>
      </c>
      <c r="Q77" s="12">
        <v>227533</v>
      </c>
      <c r="R77" s="2">
        <v>147.12530000000001</v>
      </c>
      <c r="S77" s="2">
        <v>1.0196000000000001</v>
      </c>
      <c r="T77" s="4">
        <v>4.1999999999999997E-3</v>
      </c>
      <c r="W77" t="s">
        <v>242</v>
      </c>
      <c r="X77" s="6">
        <v>6636.8540000000003</v>
      </c>
      <c r="Y77" s="6">
        <v>6554.2240000000002</v>
      </c>
      <c r="Z77" s="6">
        <v>6336.3919999999998</v>
      </c>
      <c r="AA77" s="6">
        <v>6314.1670000000004</v>
      </c>
      <c r="AB77" s="6">
        <v>6231.0659999999998</v>
      </c>
      <c r="AC77" s="6">
        <v>6114.0339999999997</v>
      </c>
    </row>
    <row r="78" spans="1:29" x14ac:dyDescent="0.25">
      <c r="A78" s="2">
        <v>219</v>
      </c>
      <c r="B78" s="2" t="s">
        <v>455</v>
      </c>
      <c r="C78" s="2" t="s">
        <v>456</v>
      </c>
      <c r="D78" s="2" t="str">
        <f>VLOOKUP(C78,[2]world_pop.!$C:$E,3,FALSE)</f>
        <v>Europe</v>
      </c>
      <c r="E78" s="2">
        <v>32.649000000000001</v>
      </c>
      <c r="F78" s="2">
        <v>32.668999999999997</v>
      </c>
      <c r="G78" s="2">
        <v>32.709000000000003</v>
      </c>
      <c r="H78" s="2">
        <v>31.356000000000002</v>
      </c>
      <c r="I78" s="2">
        <v>32.771000000000001</v>
      </c>
      <c r="J78" s="2">
        <v>32.520000000000003</v>
      </c>
      <c r="K78" s="2">
        <v>31.262</v>
      </c>
      <c r="L78" s="2">
        <v>27.741</v>
      </c>
      <c r="M78" s="2">
        <v>27.317</v>
      </c>
      <c r="N78" s="2">
        <v>28.734000000000002</v>
      </c>
      <c r="O78" s="10">
        <v>26.684999999999999</v>
      </c>
      <c r="P78" s="2">
        <v>6</v>
      </c>
      <c r="Q78" s="12">
        <v>6.8</v>
      </c>
      <c r="R78" s="2">
        <v>4801.3235000000004</v>
      </c>
      <c r="S78" s="2">
        <v>0.99939999999999996</v>
      </c>
      <c r="T78" s="4">
        <v>0</v>
      </c>
      <c r="W78" t="s">
        <v>322</v>
      </c>
      <c r="X78" s="6">
        <v>2790.5329999999999</v>
      </c>
      <c r="Y78" s="6">
        <v>1999.6780000000001</v>
      </c>
      <c r="Z78" s="6">
        <v>1674.9079999999999</v>
      </c>
      <c r="AA78" s="6">
        <v>1634.4659999999999</v>
      </c>
      <c r="AB78" s="6">
        <v>1346.973</v>
      </c>
      <c r="AC78" s="6">
        <v>1094.5239999999999</v>
      </c>
    </row>
    <row r="79" spans="1:29" x14ac:dyDescent="0.25">
      <c r="A79" s="2">
        <v>90</v>
      </c>
      <c r="B79" s="2" t="s">
        <v>197</v>
      </c>
      <c r="C79" s="2" t="s">
        <v>198</v>
      </c>
      <c r="D79" s="2" t="str">
        <f>VLOOKUP(C79,[2]world_pop.!$C:$E,3,FALSE)</f>
        <v>Europe</v>
      </c>
      <c r="E79" s="2">
        <v>10384.971</v>
      </c>
      <c r="F79" s="2">
        <v>10445.365</v>
      </c>
      <c r="G79" s="2">
        <v>10512.232</v>
      </c>
      <c r="H79" s="2">
        <v>9144.9509999999991</v>
      </c>
      <c r="I79" s="2">
        <v>10059.703</v>
      </c>
      <c r="J79" s="2">
        <v>10806.641</v>
      </c>
      <c r="K79" s="2">
        <v>11033.782999999999</v>
      </c>
      <c r="L79" s="2">
        <v>11038.109</v>
      </c>
      <c r="M79" s="2">
        <v>10302.254999999999</v>
      </c>
      <c r="N79" s="2">
        <v>9307.1479999999992</v>
      </c>
      <c r="O79" s="10">
        <v>8544.8729999999996</v>
      </c>
      <c r="P79" s="2">
        <v>131990</v>
      </c>
      <c r="Q79" s="12">
        <v>128900</v>
      </c>
      <c r="R79" s="2">
        <v>80.566100000000006</v>
      </c>
      <c r="S79" s="2">
        <v>0.99419999999999997</v>
      </c>
      <c r="T79" s="4">
        <v>1.2999999999999999E-3</v>
      </c>
      <c r="W79" t="s">
        <v>282</v>
      </c>
      <c r="X79" s="6">
        <v>5964.0209999999997</v>
      </c>
      <c r="Y79" s="6">
        <v>4283.3549999999996</v>
      </c>
      <c r="Z79" s="6">
        <v>3684.0320000000002</v>
      </c>
      <c r="AA79" s="6">
        <v>3620.3119999999999</v>
      </c>
      <c r="AB79" s="6">
        <v>3340.0059999999999</v>
      </c>
      <c r="AC79" s="6">
        <v>3147.7269999999999</v>
      </c>
    </row>
    <row r="80" spans="1:29" x14ac:dyDescent="0.25">
      <c r="A80" s="2">
        <v>208</v>
      </c>
      <c r="B80" s="2" t="s">
        <v>433</v>
      </c>
      <c r="C80" s="2" t="s">
        <v>434</v>
      </c>
      <c r="D80" s="2" t="str">
        <f>VLOOKUP(C80,[2]world_pop.!$C:$E,3,FALSE)</f>
        <v>North America</v>
      </c>
      <c r="E80" s="2">
        <v>56.466000000000001</v>
      </c>
      <c r="F80" s="2">
        <v>56.243000000000002</v>
      </c>
      <c r="G80" s="2">
        <v>56.026000000000003</v>
      </c>
      <c r="H80" s="2">
        <v>53.997</v>
      </c>
      <c r="I80" s="2">
        <v>57.152000000000001</v>
      </c>
      <c r="J80" s="2">
        <v>55.895000000000003</v>
      </c>
      <c r="K80" s="2">
        <v>56.350999999999999</v>
      </c>
      <c r="L80" s="2">
        <v>56.183999999999997</v>
      </c>
      <c r="M80" s="2">
        <v>55.598999999999997</v>
      </c>
      <c r="N80" s="2">
        <v>50.106000000000002</v>
      </c>
      <c r="O80" s="10">
        <v>45.433999999999997</v>
      </c>
      <c r="P80" s="2">
        <v>2166086</v>
      </c>
      <c r="Q80" s="12">
        <v>410450</v>
      </c>
      <c r="R80" s="2">
        <v>0.1376</v>
      </c>
      <c r="S80" s="2">
        <v>1.004</v>
      </c>
      <c r="T80" s="4">
        <v>0</v>
      </c>
      <c r="W80" t="s">
        <v>330</v>
      </c>
      <c r="X80" s="6">
        <v>1171.6949999999999</v>
      </c>
      <c r="Y80" s="6">
        <v>1289.441</v>
      </c>
      <c r="Z80" s="6">
        <v>1326.0619999999999</v>
      </c>
      <c r="AA80" s="6">
        <v>1328.701</v>
      </c>
      <c r="AB80" s="6">
        <v>1314.6569999999999</v>
      </c>
      <c r="AC80" s="6">
        <v>1331.5350000000001</v>
      </c>
    </row>
    <row r="81" spans="1:29" x14ac:dyDescent="0.25">
      <c r="A81" s="2">
        <v>193</v>
      </c>
      <c r="B81" s="2" t="s">
        <v>403</v>
      </c>
      <c r="C81" s="2" t="s">
        <v>404</v>
      </c>
      <c r="D81" s="2" t="str">
        <f>VLOOKUP(C81,[2]world_pop.!$C:$E,3,FALSE)</f>
        <v>North America</v>
      </c>
      <c r="E81" s="2">
        <v>125.438</v>
      </c>
      <c r="F81" s="2">
        <v>124.61</v>
      </c>
      <c r="G81" s="2">
        <v>123.663</v>
      </c>
      <c r="H81" s="2">
        <v>136.25299999999999</v>
      </c>
      <c r="I81" s="2">
        <v>130.36699999999999</v>
      </c>
      <c r="J81" s="2">
        <v>118.98</v>
      </c>
      <c r="K81" s="2">
        <v>114.039</v>
      </c>
      <c r="L81" s="2">
        <v>107.432</v>
      </c>
      <c r="M81" s="2">
        <v>99.046999999999997</v>
      </c>
      <c r="N81" s="2">
        <v>94.837999999999994</v>
      </c>
      <c r="O81" s="10">
        <v>98.793999999999997</v>
      </c>
      <c r="P81" s="2">
        <v>344</v>
      </c>
      <c r="Q81" s="12">
        <v>340</v>
      </c>
      <c r="R81" s="2">
        <v>368.93529999999998</v>
      </c>
      <c r="S81" s="2">
        <v>1.0065999999999999</v>
      </c>
      <c r="T81" s="4">
        <v>0</v>
      </c>
      <c r="W81" t="s">
        <v>336</v>
      </c>
      <c r="X81" s="6">
        <v>1655.1210000000001</v>
      </c>
      <c r="Y81" s="6">
        <v>1305.9849999999999</v>
      </c>
      <c r="Z81" s="6">
        <v>1201.67</v>
      </c>
      <c r="AA81" s="6">
        <v>1192.271</v>
      </c>
      <c r="AB81" s="6">
        <v>1133.9359999999999</v>
      </c>
      <c r="AC81" s="6">
        <v>1099.92</v>
      </c>
    </row>
    <row r="82" spans="1:29" x14ac:dyDescent="0.25">
      <c r="A82" s="2">
        <v>178</v>
      </c>
      <c r="B82" s="2" t="s">
        <v>373</v>
      </c>
      <c r="C82" s="2" t="s">
        <v>374</v>
      </c>
      <c r="D82" s="2" t="str">
        <f>VLOOKUP(C82,[2]world_pop.!$C:$E,3,FALSE)</f>
        <v>North America</v>
      </c>
      <c r="E82" s="2">
        <v>395.75200000000001</v>
      </c>
      <c r="F82" s="2">
        <v>396.05099999999999</v>
      </c>
      <c r="G82" s="2">
        <v>395.642</v>
      </c>
      <c r="H82" s="2">
        <v>388.86099999999999</v>
      </c>
      <c r="I82" s="2">
        <v>399.72800000000001</v>
      </c>
      <c r="J82" s="2">
        <v>399.089</v>
      </c>
      <c r="K82" s="2">
        <v>403.072</v>
      </c>
      <c r="L82" s="2">
        <v>424.06700000000001</v>
      </c>
      <c r="M82" s="2">
        <v>391.95100000000002</v>
      </c>
      <c r="N82" s="2">
        <v>334.23399999999998</v>
      </c>
      <c r="O82" s="10">
        <v>318.31</v>
      </c>
      <c r="P82" s="2">
        <v>1628</v>
      </c>
      <c r="Q82" s="12">
        <v>1628</v>
      </c>
      <c r="R82" s="2">
        <v>243.0909</v>
      </c>
      <c r="S82" s="2">
        <v>0.99919999999999998</v>
      </c>
      <c r="T82" s="4">
        <v>0</v>
      </c>
      <c r="W82" t="s">
        <v>42</v>
      </c>
      <c r="X82" s="6">
        <v>214812.30900000001</v>
      </c>
      <c r="Y82" s="6">
        <v>149296.378</v>
      </c>
      <c r="Z82" s="6">
        <v>123379.924</v>
      </c>
      <c r="AA82" s="6">
        <v>120283.026</v>
      </c>
      <c r="AB82" s="6">
        <v>102471.895</v>
      </c>
      <c r="AC82" s="6">
        <v>89237.790999999997</v>
      </c>
    </row>
    <row r="83" spans="1:29" x14ac:dyDescent="0.25">
      <c r="A83" s="2">
        <v>191</v>
      </c>
      <c r="B83" s="2" t="s">
        <v>399</v>
      </c>
      <c r="C83" s="2" t="s">
        <v>400</v>
      </c>
      <c r="D83" s="2" t="str">
        <f>VLOOKUP(C83,[2]world_pop.!$C:$E,3,FALSE)</f>
        <v>Oceania</v>
      </c>
      <c r="E83" s="2">
        <v>171.774</v>
      </c>
      <c r="F83" s="2">
        <v>170.53399999999999</v>
      </c>
      <c r="G83" s="2">
        <v>169.23099999999999</v>
      </c>
      <c r="H83" s="2">
        <v>195.673</v>
      </c>
      <c r="I83" s="2">
        <v>180.74600000000001</v>
      </c>
      <c r="J83" s="2">
        <v>167.97800000000001</v>
      </c>
      <c r="K83" s="2">
        <v>164.905</v>
      </c>
      <c r="L83" s="2">
        <v>160.18799999999999</v>
      </c>
      <c r="M83" s="2">
        <v>138.26300000000001</v>
      </c>
      <c r="N83" s="2">
        <v>110.286</v>
      </c>
      <c r="O83" s="10">
        <v>88.3</v>
      </c>
      <c r="P83" s="2">
        <v>549</v>
      </c>
      <c r="Q83" s="12">
        <v>540</v>
      </c>
      <c r="R83" s="2">
        <v>318.10000000000002</v>
      </c>
      <c r="S83" s="2">
        <v>1.0073000000000001</v>
      </c>
      <c r="T83" s="4">
        <v>0</v>
      </c>
      <c r="W83" t="s">
        <v>480</v>
      </c>
      <c r="X83" s="6">
        <v>3.7789999999999999</v>
      </c>
      <c r="Y83" s="6">
        <v>3.8690000000000002</v>
      </c>
      <c r="Z83" s="6">
        <v>3.78</v>
      </c>
      <c r="AA83" s="6">
        <v>3.7639999999999998</v>
      </c>
      <c r="AB83" s="6">
        <v>3.4079999999999999</v>
      </c>
      <c r="AC83" s="6">
        <v>3.1869999999999998</v>
      </c>
    </row>
    <row r="84" spans="1:29" x14ac:dyDescent="0.25">
      <c r="A84" s="2">
        <v>68</v>
      </c>
      <c r="B84" s="2" t="s">
        <v>153</v>
      </c>
      <c r="C84" s="2" t="s">
        <v>154</v>
      </c>
      <c r="D84" s="2" t="str">
        <f>VLOOKUP(C84,[2]world_pop.!$C:$E,3,FALSE)</f>
        <v>North America</v>
      </c>
      <c r="E84" s="2">
        <v>17843.907999999999</v>
      </c>
      <c r="F84" s="2">
        <v>17608.483</v>
      </c>
      <c r="G84" s="2">
        <v>17362.718000000001</v>
      </c>
      <c r="H84" s="2">
        <v>24600.726999999999</v>
      </c>
      <c r="I84" s="2">
        <v>20003.637999999999</v>
      </c>
      <c r="J84" s="2">
        <v>16001.107</v>
      </c>
      <c r="K84" s="2">
        <v>14543.120999999999</v>
      </c>
      <c r="L84" s="2">
        <v>11735.894</v>
      </c>
      <c r="M84" s="2">
        <v>9084.7800000000007</v>
      </c>
      <c r="N84" s="2">
        <v>6987.7669999999998</v>
      </c>
      <c r="O84" s="10">
        <v>5453.2079999999996</v>
      </c>
      <c r="P84" s="2">
        <v>108889</v>
      </c>
      <c r="Q84" s="12">
        <v>107160</v>
      </c>
      <c r="R84" s="2">
        <v>166.51650000000001</v>
      </c>
      <c r="S84" s="2">
        <v>1.0134000000000001</v>
      </c>
      <c r="T84" s="4">
        <v>2.2000000000000001E-3</v>
      </c>
      <c r="W84" t="s">
        <v>436</v>
      </c>
      <c r="X84" s="6">
        <v>59.444000000000003</v>
      </c>
      <c r="Y84" s="6">
        <v>54.582999999999998</v>
      </c>
      <c r="Z84" s="6">
        <v>53.09</v>
      </c>
      <c r="AA84" s="6">
        <v>52.889000000000003</v>
      </c>
      <c r="AB84" s="6">
        <v>48.816000000000003</v>
      </c>
      <c r="AC84" s="6">
        <v>48.41</v>
      </c>
    </row>
    <row r="85" spans="1:29" x14ac:dyDescent="0.25">
      <c r="A85" s="2">
        <v>207</v>
      </c>
      <c r="B85" s="2" t="s">
        <v>431</v>
      </c>
      <c r="C85" s="2" t="s">
        <v>432</v>
      </c>
      <c r="D85" s="2" t="str">
        <f>VLOOKUP(C85,[2]world_pop.!$C:$E,3,FALSE)</f>
        <v>Europe</v>
      </c>
      <c r="E85" s="2">
        <v>63.301000000000002</v>
      </c>
      <c r="F85" s="2">
        <v>63.064999999999998</v>
      </c>
      <c r="G85" s="2">
        <v>62.793999999999997</v>
      </c>
      <c r="H85" s="2">
        <v>66.495999999999995</v>
      </c>
      <c r="I85" s="2">
        <v>65.141000000000005</v>
      </c>
      <c r="J85" s="2">
        <v>61.628999999999998</v>
      </c>
      <c r="K85" s="2">
        <v>60.781999999999996</v>
      </c>
      <c r="L85" s="2">
        <v>59.113999999999997</v>
      </c>
      <c r="M85" s="2">
        <v>57.726999999999997</v>
      </c>
      <c r="N85" s="2">
        <v>52.86</v>
      </c>
      <c r="O85" s="10">
        <v>52.655999999999999</v>
      </c>
      <c r="P85" s="2">
        <v>78</v>
      </c>
      <c r="Q85" s="12">
        <v>63</v>
      </c>
      <c r="R85" s="2">
        <v>1004.7778</v>
      </c>
      <c r="S85" s="2">
        <v>1.0037</v>
      </c>
      <c r="T85" s="4">
        <v>0</v>
      </c>
      <c r="W85" t="s">
        <v>342</v>
      </c>
      <c r="X85" s="6">
        <v>1094.174</v>
      </c>
      <c r="Y85" s="6">
        <v>986.17200000000003</v>
      </c>
      <c r="Z85" s="6">
        <v>929.76599999999996</v>
      </c>
      <c r="AA85" s="6">
        <v>924.61</v>
      </c>
      <c r="AB85" s="6">
        <v>917.2</v>
      </c>
      <c r="AC85" s="6">
        <v>905.16899999999998</v>
      </c>
    </row>
    <row r="86" spans="1:29" x14ac:dyDescent="0.25">
      <c r="A86" s="2">
        <v>75</v>
      </c>
      <c r="B86" s="2" t="s">
        <v>167</v>
      </c>
      <c r="C86" s="2" t="s">
        <v>168</v>
      </c>
      <c r="D86" s="2" t="str">
        <f>VLOOKUP(C86,[2]world_pop.!$C:$E,3,FALSE)</f>
        <v>Africa</v>
      </c>
      <c r="E86" s="2">
        <v>13859.341</v>
      </c>
      <c r="F86" s="2">
        <v>13531.906000000001</v>
      </c>
      <c r="G86" s="2">
        <v>13205.153</v>
      </c>
      <c r="H86" s="2">
        <v>23711.7</v>
      </c>
      <c r="I86" s="2">
        <v>16622.387999999999</v>
      </c>
      <c r="J86" s="2">
        <v>11625.998</v>
      </c>
      <c r="K86" s="2">
        <v>10270.727999999999</v>
      </c>
      <c r="L86" s="2">
        <v>8336.9670000000006</v>
      </c>
      <c r="M86" s="2">
        <v>6354.1450000000004</v>
      </c>
      <c r="N86" s="2">
        <v>4972.6090000000004</v>
      </c>
      <c r="O86" s="10">
        <v>4222.3739999999998</v>
      </c>
      <c r="P86" s="2">
        <v>245857</v>
      </c>
      <c r="Q86" s="12">
        <v>245720</v>
      </c>
      <c r="R86" s="2">
        <v>56.402999999999999</v>
      </c>
      <c r="S86" s="2">
        <v>1.0242</v>
      </c>
      <c r="T86" s="4">
        <v>1.6999999999999999E-3</v>
      </c>
      <c r="W86" t="s">
        <v>254</v>
      </c>
      <c r="X86" s="6">
        <v>5460.9170000000004</v>
      </c>
      <c r="Y86" s="6">
        <v>5565.4750000000004</v>
      </c>
      <c r="Z86" s="6">
        <v>5540.7449999999999</v>
      </c>
      <c r="AA86" s="6">
        <v>5535.9920000000002</v>
      </c>
      <c r="AB86" s="6">
        <v>5479.4610000000002</v>
      </c>
      <c r="AC86" s="6">
        <v>5363.2709999999997</v>
      </c>
    </row>
    <row r="87" spans="1:29" x14ac:dyDescent="0.25">
      <c r="A87" s="2">
        <v>149</v>
      </c>
      <c r="B87" s="2" t="s">
        <v>315</v>
      </c>
      <c r="C87" s="2" t="s">
        <v>316</v>
      </c>
      <c r="D87" s="2" t="str">
        <f>VLOOKUP(C87,[2]world_pop.!$C:$E,3,FALSE)</f>
        <v>Africa</v>
      </c>
      <c r="E87" s="2">
        <v>2105.5659999999998</v>
      </c>
      <c r="F87" s="2">
        <v>2060.721</v>
      </c>
      <c r="G87" s="2">
        <v>2015.828</v>
      </c>
      <c r="H87" s="2">
        <v>3445.2890000000002</v>
      </c>
      <c r="I87" s="2">
        <v>2484.8629999999998</v>
      </c>
      <c r="J87" s="2">
        <v>1788.9190000000001</v>
      </c>
      <c r="K87" s="2">
        <v>1567.22</v>
      </c>
      <c r="L87" s="2">
        <v>1230.8489999999999</v>
      </c>
      <c r="M87" s="2">
        <v>973.55100000000004</v>
      </c>
      <c r="N87" s="2">
        <v>831.46199999999999</v>
      </c>
      <c r="O87" s="10">
        <v>591.66300000000001</v>
      </c>
      <c r="P87" s="2">
        <v>36125</v>
      </c>
      <c r="Q87" s="12">
        <v>28120</v>
      </c>
      <c r="R87" s="2">
        <v>74.877899999999997</v>
      </c>
      <c r="S87" s="2">
        <v>1.0218</v>
      </c>
      <c r="T87" s="4">
        <v>2.9999999999999997E-4</v>
      </c>
      <c r="W87" t="s">
        <v>64</v>
      </c>
      <c r="X87" s="6">
        <v>65827.072</v>
      </c>
      <c r="Y87" s="6">
        <v>65543.452000000005</v>
      </c>
      <c r="Z87" s="6">
        <v>64626.627999999997</v>
      </c>
      <c r="AA87" s="6">
        <v>64531.444000000003</v>
      </c>
      <c r="AB87" s="6">
        <v>63809.769</v>
      </c>
      <c r="AC87" s="6">
        <v>62444.567000000003</v>
      </c>
    </row>
    <row r="88" spans="1:29" x14ac:dyDescent="0.25">
      <c r="A88" s="2">
        <v>164</v>
      </c>
      <c r="B88" s="2" t="s">
        <v>345</v>
      </c>
      <c r="C88" s="2" t="s">
        <v>346</v>
      </c>
      <c r="D88" s="2" t="str">
        <f>VLOOKUP(C88,[2]world_pop.!$C:$E,3,FALSE)</f>
        <v>South America</v>
      </c>
      <c r="E88" s="2">
        <v>808.726</v>
      </c>
      <c r="F88" s="2">
        <v>804.56700000000001</v>
      </c>
      <c r="G88" s="2">
        <v>797.202</v>
      </c>
      <c r="H88" s="2">
        <v>878.74599999999998</v>
      </c>
      <c r="I88" s="2">
        <v>848.03300000000002</v>
      </c>
      <c r="J88" s="2">
        <v>755.03099999999995</v>
      </c>
      <c r="K88" s="2">
        <v>747.93200000000002</v>
      </c>
      <c r="L88" s="2">
        <v>759.05100000000004</v>
      </c>
      <c r="M88" s="2">
        <v>747.11599999999999</v>
      </c>
      <c r="N88" s="2">
        <v>778.17600000000004</v>
      </c>
      <c r="O88" s="10">
        <v>705.26099999999997</v>
      </c>
      <c r="P88" s="2">
        <v>214969</v>
      </c>
      <c r="Q88" s="12">
        <v>196850</v>
      </c>
      <c r="R88" s="2">
        <v>4.1082999999999998</v>
      </c>
      <c r="S88" s="2">
        <v>1.0052000000000001</v>
      </c>
      <c r="T88" s="4">
        <v>1E-4</v>
      </c>
      <c r="W88" t="s">
        <v>386</v>
      </c>
      <c r="X88" s="6">
        <v>532.45899999999995</v>
      </c>
      <c r="Y88" s="6">
        <v>366.66899999999998</v>
      </c>
      <c r="Z88" s="6">
        <v>304.55700000000002</v>
      </c>
      <c r="AA88" s="6">
        <v>297.44900000000001</v>
      </c>
      <c r="AB88" s="6">
        <v>257.02600000000001</v>
      </c>
      <c r="AC88" s="6">
        <v>228.453</v>
      </c>
    </row>
    <row r="89" spans="1:29" x14ac:dyDescent="0.25">
      <c r="A89" s="2">
        <v>82</v>
      </c>
      <c r="B89" s="2" t="s">
        <v>181</v>
      </c>
      <c r="C89" s="2" t="s">
        <v>182</v>
      </c>
      <c r="D89" s="2" t="str">
        <f>VLOOKUP(C89,[2]world_pop.!$C:$E,3,FALSE)</f>
        <v>North America</v>
      </c>
      <c r="E89" s="2">
        <v>11584.995999999999</v>
      </c>
      <c r="F89" s="2">
        <v>11447.569</v>
      </c>
      <c r="G89" s="2">
        <v>11306.800999999999</v>
      </c>
      <c r="H89" s="2">
        <v>15087.52</v>
      </c>
      <c r="I89" s="2">
        <v>12700.005999999999</v>
      </c>
      <c r="J89" s="2">
        <v>10563.757</v>
      </c>
      <c r="K89" s="2">
        <v>9842.8799999999992</v>
      </c>
      <c r="L89" s="2">
        <v>8360.2250000000004</v>
      </c>
      <c r="M89" s="2">
        <v>6925.3310000000001</v>
      </c>
      <c r="N89" s="2">
        <v>5646.6760000000004</v>
      </c>
      <c r="O89" s="10">
        <v>4680.8119999999999</v>
      </c>
      <c r="P89" s="2">
        <v>27750</v>
      </c>
      <c r="Q89" s="12">
        <v>27560</v>
      </c>
      <c r="R89" s="2">
        <v>420.35539999999997</v>
      </c>
      <c r="S89" s="2">
        <v>1.012</v>
      </c>
      <c r="T89" s="4">
        <v>1.5E-3</v>
      </c>
      <c r="W89" t="s">
        <v>384</v>
      </c>
      <c r="X89" s="6">
        <v>346.93299999999999</v>
      </c>
      <c r="Y89" s="6">
        <v>324.86</v>
      </c>
      <c r="Z89" s="6">
        <v>306.279</v>
      </c>
      <c r="AA89" s="6">
        <v>304.03199999999998</v>
      </c>
      <c r="AB89" s="6">
        <v>291.78699999999998</v>
      </c>
      <c r="AC89" s="6">
        <v>283.78800000000001</v>
      </c>
    </row>
    <row r="90" spans="1:29" x14ac:dyDescent="0.25">
      <c r="A90" s="2">
        <v>89</v>
      </c>
      <c r="B90" s="2" t="s">
        <v>195</v>
      </c>
      <c r="C90" s="2" t="s">
        <v>196</v>
      </c>
      <c r="D90" s="2" t="str">
        <f>VLOOKUP(C90,[2]world_pop.!$C:$E,3,FALSE)</f>
        <v>North America</v>
      </c>
      <c r="E90" s="2">
        <v>10432.86</v>
      </c>
      <c r="F90" s="2">
        <v>10278.344999999999</v>
      </c>
      <c r="G90" s="2">
        <v>10121.763000000001</v>
      </c>
      <c r="H90" s="2">
        <v>14258.513999999999</v>
      </c>
      <c r="I90" s="2">
        <v>11724.522000000001</v>
      </c>
      <c r="J90" s="2">
        <v>9294.5049999999992</v>
      </c>
      <c r="K90" s="2">
        <v>8450.9330000000009</v>
      </c>
      <c r="L90" s="2">
        <v>6656.7250000000004</v>
      </c>
      <c r="M90" s="2">
        <v>5053.2340000000004</v>
      </c>
      <c r="N90" s="2">
        <v>3777.99</v>
      </c>
      <c r="O90" s="10">
        <v>2782.7530000000002</v>
      </c>
      <c r="P90" s="2">
        <v>112492</v>
      </c>
      <c r="Q90" s="12">
        <v>111890</v>
      </c>
      <c r="R90" s="2">
        <v>93.242099999999994</v>
      </c>
      <c r="S90" s="2">
        <v>1.0149999999999999</v>
      </c>
      <c r="T90" s="4">
        <v>1.2999999999999999E-3</v>
      </c>
      <c r="W90" t="s">
        <v>310</v>
      </c>
      <c r="X90" s="6">
        <v>3757.0529999999999</v>
      </c>
      <c r="Y90" s="6">
        <v>2774.5230000000001</v>
      </c>
      <c r="Z90" s="6">
        <v>2388.9920000000002</v>
      </c>
      <c r="AA90" s="6">
        <v>2341.1790000000001</v>
      </c>
      <c r="AB90" s="6">
        <v>2028.5170000000001</v>
      </c>
      <c r="AC90" s="6">
        <v>1711.105</v>
      </c>
    </row>
    <row r="91" spans="1:29" x14ac:dyDescent="0.25">
      <c r="A91" s="2">
        <v>104</v>
      </c>
      <c r="B91" s="2" t="s">
        <v>225</v>
      </c>
      <c r="C91" s="2" t="s">
        <v>226</v>
      </c>
      <c r="D91" s="2" t="str">
        <f>VLOOKUP(C91,[2]world_pop.!$C:$E,3,FALSE)</f>
        <v>Asia</v>
      </c>
      <c r="E91" s="2">
        <v>7488.8649999999998</v>
      </c>
      <c r="F91" s="2">
        <v>7494.5780000000004</v>
      </c>
      <c r="G91" s="2">
        <v>7500.9579999999996</v>
      </c>
      <c r="H91" s="2">
        <v>6975.3909999999996</v>
      </c>
      <c r="I91" s="2">
        <v>7485.8869999999997</v>
      </c>
      <c r="J91" s="2">
        <v>7399.8379999999997</v>
      </c>
      <c r="K91" s="2">
        <v>7132.4380000000001</v>
      </c>
      <c r="L91" s="2">
        <v>6731.1949999999997</v>
      </c>
      <c r="M91" s="2">
        <v>5838.5739999999996</v>
      </c>
      <c r="N91" s="2">
        <v>4978.5439999999999</v>
      </c>
      <c r="O91" s="10">
        <v>3955.0720000000001</v>
      </c>
      <c r="P91" s="2">
        <v>1104</v>
      </c>
      <c r="Q91" s="12">
        <v>1050</v>
      </c>
      <c r="R91" s="2">
        <v>7132.2524000000003</v>
      </c>
      <c r="S91" s="2">
        <v>0.99919999999999998</v>
      </c>
      <c r="T91" s="4">
        <v>8.9999999999999998E-4</v>
      </c>
      <c r="W91" t="s">
        <v>302</v>
      </c>
      <c r="X91" s="6">
        <v>4673.7430000000004</v>
      </c>
      <c r="Y91" s="6">
        <v>3263.6509999999998</v>
      </c>
      <c r="Z91" s="6">
        <v>2705.9920000000002</v>
      </c>
      <c r="AA91" s="6">
        <v>2639.9160000000002</v>
      </c>
      <c r="AB91" s="6">
        <v>2253.1329999999998</v>
      </c>
      <c r="AC91" s="6">
        <v>1937.2750000000001</v>
      </c>
    </row>
    <row r="92" spans="1:29" x14ac:dyDescent="0.25">
      <c r="A92" s="2">
        <v>94</v>
      </c>
      <c r="B92" s="2" t="s">
        <v>205</v>
      </c>
      <c r="C92" s="2" t="s">
        <v>206</v>
      </c>
      <c r="D92" s="2" t="str">
        <f>VLOOKUP(C92,[2]world_pop.!$C:$E,3,FALSE)</f>
        <v>Europe</v>
      </c>
      <c r="E92" s="2">
        <v>9967.3080000000009</v>
      </c>
      <c r="F92" s="2">
        <v>9709.7860000000001</v>
      </c>
      <c r="G92" s="2">
        <v>9750.5730000000003</v>
      </c>
      <c r="H92" s="2">
        <v>8817.3960000000006</v>
      </c>
      <c r="I92" s="2">
        <v>9642.9120000000003</v>
      </c>
      <c r="J92" s="2">
        <v>9844.2459999999992</v>
      </c>
      <c r="K92" s="2">
        <v>9986.8250000000007</v>
      </c>
      <c r="L92" s="2">
        <v>10202.055</v>
      </c>
      <c r="M92" s="2">
        <v>10375.989</v>
      </c>
      <c r="N92" s="2">
        <v>10698.679</v>
      </c>
      <c r="O92" s="10">
        <v>10315.366</v>
      </c>
      <c r="P92" s="2">
        <v>93028</v>
      </c>
      <c r="Q92" s="12">
        <v>91260</v>
      </c>
      <c r="R92" s="2">
        <v>109.2188</v>
      </c>
      <c r="S92" s="2">
        <v>1.0265</v>
      </c>
      <c r="T92" s="4">
        <v>1.1999999999999999E-3</v>
      </c>
      <c r="W92" t="s">
        <v>280</v>
      </c>
      <c r="X92" s="6">
        <v>3384.66</v>
      </c>
      <c r="Y92" s="6">
        <v>3657.4940000000001</v>
      </c>
      <c r="Z92" s="6">
        <v>3744.3850000000002</v>
      </c>
      <c r="AA92" s="6">
        <v>3757.98</v>
      </c>
      <c r="AB92" s="6">
        <v>3771.1320000000001</v>
      </c>
      <c r="AC92" s="6">
        <v>3836.8310000000001</v>
      </c>
    </row>
    <row r="93" spans="1:29" x14ac:dyDescent="0.25">
      <c r="A93" s="2">
        <v>179</v>
      </c>
      <c r="B93" s="2" t="s">
        <v>375</v>
      </c>
      <c r="C93" s="2" t="s">
        <v>376</v>
      </c>
      <c r="D93" s="2" t="str">
        <f>VLOOKUP(C93,[2]world_pop.!$C:$E,3,FALSE)</f>
        <v>Europe</v>
      </c>
      <c r="E93" s="2">
        <v>372.899</v>
      </c>
      <c r="F93" s="2">
        <v>370.33499999999998</v>
      </c>
      <c r="G93" s="2">
        <v>366.66899999999998</v>
      </c>
      <c r="H93" s="2">
        <v>408.78300000000002</v>
      </c>
      <c r="I93" s="2">
        <v>390.33800000000002</v>
      </c>
      <c r="J93" s="2">
        <v>331.06</v>
      </c>
      <c r="K93" s="2">
        <v>318.33300000000003</v>
      </c>
      <c r="L93" s="2">
        <v>281.46199999999999</v>
      </c>
      <c r="M93" s="2">
        <v>255.01900000000001</v>
      </c>
      <c r="N93" s="2">
        <v>228.26300000000001</v>
      </c>
      <c r="O93" s="10">
        <v>204.46799999999999</v>
      </c>
      <c r="P93" s="2">
        <v>103000</v>
      </c>
      <c r="Q93" s="12">
        <v>100830</v>
      </c>
      <c r="R93" s="2">
        <v>3.6983000000000001</v>
      </c>
      <c r="S93" s="2">
        <v>1.0068999999999999</v>
      </c>
      <c r="T93" s="4">
        <v>0</v>
      </c>
      <c r="W93" t="s">
        <v>56</v>
      </c>
      <c r="X93" s="6">
        <v>78932.228000000003</v>
      </c>
      <c r="Y93" s="6">
        <v>82762.675000000003</v>
      </c>
      <c r="Z93" s="6">
        <v>83369.842999999993</v>
      </c>
      <c r="AA93" s="6">
        <v>83408.554000000004</v>
      </c>
      <c r="AB93" s="6">
        <v>82073.225999999995</v>
      </c>
      <c r="AC93" s="6">
        <v>81325.09</v>
      </c>
    </row>
    <row r="94" spans="1:29" x14ac:dyDescent="0.25">
      <c r="A94" s="2">
        <v>2</v>
      </c>
      <c r="B94" s="2" t="s">
        <v>21</v>
      </c>
      <c r="C94" s="2" t="s">
        <v>22</v>
      </c>
      <c r="D94" s="2" t="str">
        <f>VLOOKUP(C94,[2]world_pop.!$C:$E,3,FALSE)</f>
        <v>Asia</v>
      </c>
      <c r="E94" s="2">
        <v>1417173.173</v>
      </c>
      <c r="F94" s="2">
        <v>1407563.8419999999</v>
      </c>
      <c r="G94" s="2">
        <v>1396387.1270000001</v>
      </c>
      <c r="H94" s="2">
        <v>1670490.5959999999</v>
      </c>
      <c r="I94" s="2">
        <v>1514994.08</v>
      </c>
      <c r="J94" s="2">
        <v>1322866.5049999999</v>
      </c>
      <c r="K94" s="2">
        <v>1240613.6200000001</v>
      </c>
      <c r="L94" s="2">
        <v>1059633.675</v>
      </c>
      <c r="M94" s="2">
        <v>870452.16500000004</v>
      </c>
      <c r="N94" s="2">
        <v>696828.38500000001</v>
      </c>
      <c r="O94" s="10">
        <v>557501.30099999998</v>
      </c>
      <c r="P94" s="2">
        <v>3287590</v>
      </c>
      <c r="Q94" s="12">
        <v>2973190</v>
      </c>
      <c r="R94" s="2">
        <v>476.65069999999997</v>
      </c>
      <c r="S94" s="2">
        <v>1.0067999999999999</v>
      </c>
      <c r="T94" s="4">
        <v>0.1777</v>
      </c>
      <c r="W94" t="s">
        <v>112</v>
      </c>
      <c r="X94" s="6">
        <v>52231.785000000003</v>
      </c>
      <c r="Y94" s="6">
        <v>38775.85</v>
      </c>
      <c r="Z94" s="6">
        <v>33475.870000000003</v>
      </c>
      <c r="AA94" s="6">
        <v>32833.031000000003</v>
      </c>
      <c r="AB94" s="6">
        <v>28870.938999999998</v>
      </c>
      <c r="AC94" s="6">
        <v>25574.719000000001</v>
      </c>
    </row>
    <row r="95" spans="1:29" x14ac:dyDescent="0.25">
      <c r="A95" s="2">
        <v>4</v>
      </c>
      <c r="B95" s="2" t="s">
        <v>25</v>
      </c>
      <c r="C95" s="2" t="s">
        <v>26</v>
      </c>
      <c r="D95" s="2" t="str">
        <f>VLOOKUP(C95,[2]world_pop.!$C:$E,3,FALSE)</f>
        <v>Asia</v>
      </c>
      <c r="E95" s="2">
        <v>275501.33899999998</v>
      </c>
      <c r="F95" s="2">
        <v>273753.19099999999</v>
      </c>
      <c r="G95" s="2">
        <v>271857.96999999997</v>
      </c>
      <c r="H95" s="2">
        <v>317225.21299999999</v>
      </c>
      <c r="I95" s="2">
        <v>292150.09999999998</v>
      </c>
      <c r="J95" s="2">
        <v>259091.97</v>
      </c>
      <c r="K95" s="2">
        <v>244016.17300000001</v>
      </c>
      <c r="L95" s="2">
        <v>214072.421</v>
      </c>
      <c r="M95" s="2">
        <v>182159.87400000001</v>
      </c>
      <c r="N95" s="2">
        <v>148177.09599999999</v>
      </c>
      <c r="O95" s="10">
        <v>115228.394</v>
      </c>
      <c r="P95" s="2">
        <v>1904569</v>
      </c>
      <c r="Q95" s="12">
        <v>1877519</v>
      </c>
      <c r="R95" s="2">
        <v>146.73689999999999</v>
      </c>
      <c r="S95" s="2">
        <v>1.0064</v>
      </c>
      <c r="T95" s="4">
        <v>3.4500000000000003E-2</v>
      </c>
      <c r="W95" t="s">
        <v>456</v>
      </c>
      <c r="X95" s="6">
        <v>31.356000000000002</v>
      </c>
      <c r="Y95" s="6">
        <v>32.771000000000001</v>
      </c>
      <c r="Z95" s="6">
        <v>32.649000000000001</v>
      </c>
      <c r="AA95" s="6">
        <v>32.668999999999997</v>
      </c>
      <c r="AB95" s="6">
        <v>32.520000000000003</v>
      </c>
      <c r="AC95" s="6">
        <v>31.262</v>
      </c>
    </row>
    <row r="96" spans="1:29" x14ac:dyDescent="0.25">
      <c r="A96" s="2">
        <v>17</v>
      </c>
      <c r="B96" s="2" t="s">
        <v>51</v>
      </c>
      <c r="C96" s="2" t="s">
        <v>52</v>
      </c>
      <c r="D96" s="2" t="str">
        <f>VLOOKUP(C96,[2]world_pop.!$C:$E,3,FALSE)</f>
        <v>Asia</v>
      </c>
      <c r="E96" s="2">
        <v>88550.57</v>
      </c>
      <c r="F96" s="2">
        <v>87923.432000000001</v>
      </c>
      <c r="G96" s="2">
        <v>87290.192999999999</v>
      </c>
      <c r="H96" s="2">
        <v>99007.203999999998</v>
      </c>
      <c r="I96" s="2">
        <v>92921.017000000007</v>
      </c>
      <c r="J96" s="2">
        <v>81790.841</v>
      </c>
      <c r="K96" s="2">
        <v>75373.854999999996</v>
      </c>
      <c r="L96" s="2">
        <v>65544.383000000002</v>
      </c>
      <c r="M96" s="2">
        <v>55793.629000000001</v>
      </c>
      <c r="N96" s="2">
        <v>38520.663999999997</v>
      </c>
      <c r="O96" s="10">
        <v>28449.705000000002</v>
      </c>
      <c r="P96" s="2">
        <v>1648195</v>
      </c>
      <c r="Q96" s="12">
        <v>1622500</v>
      </c>
      <c r="R96" s="2">
        <v>54.576599999999999</v>
      </c>
      <c r="S96" s="2">
        <v>1.0071000000000001</v>
      </c>
      <c r="T96" s="4">
        <v>1.11E-2</v>
      </c>
      <c r="W96" t="s">
        <v>198</v>
      </c>
      <c r="X96" s="6">
        <v>9144.9509999999991</v>
      </c>
      <c r="Y96" s="6">
        <v>10059.703</v>
      </c>
      <c r="Z96" s="6">
        <v>10384.971</v>
      </c>
      <c r="AA96" s="6">
        <v>10445.365</v>
      </c>
      <c r="AB96" s="6">
        <v>10806.641</v>
      </c>
      <c r="AC96" s="6">
        <v>11033.782999999999</v>
      </c>
    </row>
    <row r="97" spans="1:29" x14ac:dyDescent="0.25">
      <c r="A97" s="2">
        <v>35</v>
      </c>
      <c r="B97" s="2" t="s">
        <v>87</v>
      </c>
      <c r="C97" s="2" t="s">
        <v>88</v>
      </c>
      <c r="D97" s="2" t="str">
        <f>VLOOKUP(C97,[2]world_pop.!$C:$E,3,FALSE)</f>
        <v>Asia</v>
      </c>
      <c r="E97" s="2">
        <v>44496.122000000003</v>
      </c>
      <c r="F97" s="2">
        <v>43533.591999999997</v>
      </c>
      <c r="G97" s="2">
        <v>42556.983999999997</v>
      </c>
      <c r="H97" s="2">
        <v>74515.14</v>
      </c>
      <c r="I97" s="2">
        <v>52800.824999999997</v>
      </c>
      <c r="J97" s="2">
        <v>37757.813000000002</v>
      </c>
      <c r="K97" s="2">
        <v>31264.875</v>
      </c>
      <c r="L97" s="2">
        <v>24628.858</v>
      </c>
      <c r="M97" s="2">
        <v>17658.381000000001</v>
      </c>
      <c r="N97" s="2">
        <v>13653.369000000001</v>
      </c>
      <c r="O97" s="10">
        <v>9811.3469999999998</v>
      </c>
      <c r="P97" s="2">
        <v>438317</v>
      </c>
      <c r="Q97" s="12">
        <v>434128</v>
      </c>
      <c r="R97" s="2">
        <v>102.4954</v>
      </c>
      <c r="S97" s="2">
        <v>1.0221</v>
      </c>
      <c r="T97" s="4">
        <v>5.5999999999999999E-3</v>
      </c>
      <c r="W97" t="s">
        <v>434</v>
      </c>
      <c r="X97" s="6">
        <v>53.997</v>
      </c>
      <c r="Y97" s="6">
        <v>57.152000000000001</v>
      </c>
      <c r="Z97" s="6">
        <v>56.466000000000001</v>
      </c>
      <c r="AA97" s="6">
        <v>56.243000000000002</v>
      </c>
      <c r="AB97" s="6">
        <v>55.895000000000003</v>
      </c>
      <c r="AC97" s="6">
        <v>56.350999999999999</v>
      </c>
    </row>
    <row r="98" spans="1:29" x14ac:dyDescent="0.25">
      <c r="A98" s="2">
        <v>125</v>
      </c>
      <c r="B98" s="2" t="s">
        <v>267</v>
      </c>
      <c r="C98" s="2" t="s">
        <v>268</v>
      </c>
      <c r="D98" s="2" t="str">
        <f>VLOOKUP(C98,[2]world_pop.!$C:$E,3,FALSE)</f>
        <v>Europe</v>
      </c>
      <c r="E98" s="2">
        <v>5023.1090000000004</v>
      </c>
      <c r="F98" s="2">
        <v>4986.5259999999998</v>
      </c>
      <c r="G98" s="2">
        <v>4946.1189999999997</v>
      </c>
      <c r="H98" s="2">
        <v>5724.6859999999997</v>
      </c>
      <c r="I98" s="2">
        <v>5266.8810000000003</v>
      </c>
      <c r="J98" s="2">
        <v>4665.76</v>
      </c>
      <c r="K98" s="2">
        <v>4524.585</v>
      </c>
      <c r="L98" s="2">
        <v>3768.95</v>
      </c>
      <c r="M98" s="2">
        <v>3485.3739999999998</v>
      </c>
      <c r="N98" s="2">
        <v>3391.3870000000002</v>
      </c>
      <c r="O98" s="10">
        <v>2937.6370000000002</v>
      </c>
      <c r="P98" s="2">
        <v>70273</v>
      </c>
      <c r="Q98" s="12">
        <v>68890</v>
      </c>
      <c r="R98" s="2">
        <v>72.914900000000003</v>
      </c>
      <c r="S98" s="2">
        <v>1.0073000000000001</v>
      </c>
      <c r="T98" s="4">
        <v>5.9999999999999995E-4</v>
      </c>
      <c r="W98" t="s">
        <v>404</v>
      </c>
      <c r="X98" s="6">
        <v>136.25299999999999</v>
      </c>
      <c r="Y98" s="6">
        <v>130.36699999999999</v>
      </c>
      <c r="Z98" s="6">
        <v>125.438</v>
      </c>
      <c r="AA98" s="6">
        <v>124.61</v>
      </c>
      <c r="AB98" s="6">
        <v>118.98</v>
      </c>
      <c r="AC98" s="6">
        <v>114.039</v>
      </c>
    </row>
    <row r="99" spans="1:29" x14ac:dyDescent="0.25">
      <c r="A99" s="2">
        <v>202</v>
      </c>
      <c r="B99" s="2" t="s">
        <v>421</v>
      </c>
      <c r="C99" s="2" t="s">
        <v>422</v>
      </c>
      <c r="D99" s="2" t="str">
        <f>VLOOKUP(C99,[2]world_pop.!$C:$E,3,FALSE)</f>
        <v>Europe</v>
      </c>
      <c r="E99" s="2">
        <v>84.519000000000005</v>
      </c>
      <c r="F99" s="2">
        <v>84.263000000000005</v>
      </c>
      <c r="G99" s="2">
        <v>84.046000000000006</v>
      </c>
      <c r="H99" s="2">
        <v>86.68</v>
      </c>
      <c r="I99" s="2">
        <v>85.798000000000002</v>
      </c>
      <c r="J99" s="2">
        <v>83.593000000000004</v>
      </c>
      <c r="K99" s="2">
        <v>83.828000000000003</v>
      </c>
      <c r="L99" s="2">
        <v>75.561999999999998</v>
      </c>
      <c r="M99" s="2">
        <v>68.864999999999995</v>
      </c>
      <c r="N99" s="2">
        <v>64.022000000000006</v>
      </c>
      <c r="O99" s="10">
        <v>55.298000000000002</v>
      </c>
      <c r="P99" s="2">
        <v>572</v>
      </c>
      <c r="Q99" s="12">
        <v>570</v>
      </c>
      <c r="R99" s="2">
        <v>148.27889999999999</v>
      </c>
      <c r="S99" s="2">
        <v>1.0029999999999999</v>
      </c>
      <c r="T99" s="4">
        <v>0</v>
      </c>
      <c r="W99" t="s">
        <v>374</v>
      </c>
      <c r="X99" s="6">
        <v>388.86099999999999</v>
      </c>
      <c r="Y99" s="6">
        <v>399.72800000000001</v>
      </c>
      <c r="Z99" s="6">
        <v>395.75200000000001</v>
      </c>
      <c r="AA99" s="6">
        <v>396.05099999999999</v>
      </c>
      <c r="AB99" s="6">
        <v>399.089</v>
      </c>
      <c r="AC99" s="6">
        <v>403.072</v>
      </c>
    </row>
    <row r="100" spans="1:29" x14ac:dyDescent="0.25">
      <c r="A100" s="2">
        <v>98</v>
      </c>
      <c r="B100" s="2" t="s">
        <v>213</v>
      </c>
      <c r="C100" s="2" t="s">
        <v>214</v>
      </c>
      <c r="D100" s="2" t="str">
        <f>VLOOKUP(C100,[2]world_pop.!$C:$E,3,FALSE)</f>
        <v>Asia</v>
      </c>
      <c r="E100" s="2">
        <v>9038.3089999999993</v>
      </c>
      <c r="F100" s="2">
        <v>8900.0589999999993</v>
      </c>
      <c r="G100" s="2">
        <v>8757.4889999999996</v>
      </c>
      <c r="H100" s="2">
        <v>12991.79</v>
      </c>
      <c r="I100" s="2">
        <v>10134.950999999999</v>
      </c>
      <c r="J100" s="2">
        <v>8007.7780000000002</v>
      </c>
      <c r="K100" s="2">
        <v>7328.4449999999997</v>
      </c>
      <c r="L100" s="2">
        <v>6116.9579999999996</v>
      </c>
      <c r="M100" s="2">
        <v>4803.2539999999999</v>
      </c>
      <c r="N100" s="2">
        <v>3744.6080000000002</v>
      </c>
      <c r="O100" s="10">
        <v>2907.3069999999998</v>
      </c>
      <c r="P100" s="2">
        <v>20770</v>
      </c>
      <c r="Q100" s="12">
        <v>21640</v>
      </c>
      <c r="R100" s="2">
        <v>417.66680000000002</v>
      </c>
      <c r="S100" s="2">
        <v>1.0155000000000001</v>
      </c>
      <c r="T100" s="4">
        <v>1.1000000000000001E-3</v>
      </c>
      <c r="W100" t="s">
        <v>400</v>
      </c>
      <c r="X100" s="6">
        <v>195.673</v>
      </c>
      <c r="Y100" s="6">
        <v>180.74600000000001</v>
      </c>
      <c r="Z100" s="6">
        <v>171.774</v>
      </c>
      <c r="AA100" s="6">
        <v>170.53399999999999</v>
      </c>
      <c r="AB100" s="6">
        <v>167.97800000000001</v>
      </c>
      <c r="AC100" s="6">
        <v>164.905</v>
      </c>
    </row>
    <row r="101" spans="1:29" x14ac:dyDescent="0.25">
      <c r="A101" s="2">
        <v>25</v>
      </c>
      <c r="B101" s="2" t="s">
        <v>67</v>
      </c>
      <c r="C101" s="2" t="s">
        <v>68</v>
      </c>
      <c r="D101" s="2" t="str">
        <f>VLOOKUP(C101,[2]world_pop.!$C:$E,3,FALSE)</f>
        <v>Europe</v>
      </c>
      <c r="E101" s="2">
        <v>59037.474000000002</v>
      </c>
      <c r="F101" s="2">
        <v>59240.328999999998</v>
      </c>
      <c r="G101" s="2">
        <v>59500.578999999998</v>
      </c>
      <c r="H101" s="2">
        <v>52250.483999999997</v>
      </c>
      <c r="I101" s="2">
        <v>57544.258000000002</v>
      </c>
      <c r="J101" s="2">
        <v>60232.906000000003</v>
      </c>
      <c r="K101" s="2">
        <v>59822.45</v>
      </c>
      <c r="L101" s="2">
        <v>56966.396999999997</v>
      </c>
      <c r="M101" s="2">
        <v>56756.561000000002</v>
      </c>
      <c r="N101" s="2">
        <v>56329.482000000004</v>
      </c>
      <c r="O101" s="10">
        <v>53324.036</v>
      </c>
      <c r="P101" s="2">
        <v>301336</v>
      </c>
      <c r="Q101" s="12">
        <v>295717</v>
      </c>
      <c r="R101" s="2">
        <v>199.64179999999999</v>
      </c>
      <c r="S101" s="2">
        <v>0.99660000000000004</v>
      </c>
      <c r="T101" s="4">
        <v>7.4000000000000003E-3</v>
      </c>
      <c r="W101" t="s">
        <v>154</v>
      </c>
      <c r="X101" s="6">
        <v>24600.726999999999</v>
      </c>
      <c r="Y101" s="6">
        <v>20003.637999999999</v>
      </c>
      <c r="Z101" s="6">
        <v>17843.907999999999</v>
      </c>
      <c r="AA101" s="6">
        <v>17608.483</v>
      </c>
      <c r="AB101" s="6">
        <v>16001.107</v>
      </c>
      <c r="AC101" s="6">
        <v>14543.120999999999</v>
      </c>
    </row>
    <row r="102" spans="1:29" x14ac:dyDescent="0.25">
      <c r="A102" s="2">
        <v>52</v>
      </c>
      <c r="B102" s="2" t="s">
        <v>121</v>
      </c>
      <c r="C102" s="2" t="s">
        <v>122</v>
      </c>
      <c r="D102" s="2" t="str">
        <f>VLOOKUP(C102,[2]world_pop.!$C:$E,3,FALSE)</f>
        <v>Africa</v>
      </c>
      <c r="E102" s="2">
        <v>28160.542000000001</v>
      </c>
      <c r="F102" s="2">
        <v>27478.249</v>
      </c>
      <c r="G102" s="2">
        <v>26811.79</v>
      </c>
      <c r="H102" s="2">
        <v>51358.243000000002</v>
      </c>
      <c r="I102" s="2">
        <v>34211.271999999997</v>
      </c>
      <c r="J102" s="2">
        <v>23596.741000000002</v>
      </c>
      <c r="K102" s="2">
        <v>21120.042000000001</v>
      </c>
      <c r="L102" s="2">
        <v>16799.669999999998</v>
      </c>
      <c r="M102" s="2">
        <v>11910.54</v>
      </c>
      <c r="N102" s="2">
        <v>8303.81</v>
      </c>
      <c r="O102" s="10">
        <v>5477.0860000000002</v>
      </c>
      <c r="P102" s="2">
        <v>322463</v>
      </c>
      <c r="Q102" s="12">
        <v>318000</v>
      </c>
      <c r="R102" s="2">
        <v>88.555199999999999</v>
      </c>
      <c r="S102" s="2">
        <v>1.0247999999999999</v>
      </c>
      <c r="T102" s="4">
        <v>3.5000000000000001E-3</v>
      </c>
      <c r="W102" t="s">
        <v>432</v>
      </c>
      <c r="X102" s="6">
        <v>66.495999999999995</v>
      </c>
      <c r="Y102" s="6">
        <v>65.141000000000005</v>
      </c>
      <c r="Z102" s="6">
        <v>63.301000000000002</v>
      </c>
      <c r="AA102" s="6">
        <v>63.064999999999998</v>
      </c>
      <c r="AB102" s="6">
        <v>61.628999999999998</v>
      </c>
      <c r="AC102" s="6">
        <v>60.781999999999996</v>
      </c>
    </row>
    <row r="103" spans="1:29" x14ac:dyDescent="0.25">
      <c r="A103" s="2">
        <v>139</v>
      </c>
      <c r="B103" s="2" t="s">
        <v>295</v>
      </c>
      <c r="C103" s="2" t="s">
        <v>296</v>
      </c>
      <c r="D103" s="2" t="str">
        <f>VLOOKUP(C103,[2]world_pop.!$C:$E,3,FALSE)</f>
        <v>North America</v>
      </c>
      <c r="E103" s="2">
        <v>2827.377</v>
      </c>
      <c r="F103" s="2">
        <v>2827.6950000000002</v>
      </c>
      <c r="G103" s="2">
        <v>2820.4360000000001</v>
      </c>
      <c r="H103" s="2">
        <v>2493.8229999999999</v>
      </c>
      <c r="I103" s="2">
        <v>2804.3560000000002</v>
      </c>
      <c r="J103" s="2">
        <v>2794.4450000000002</v>
      </c>
      <c r="K103" s="2">
        <v>2733.8960000000002</v>
      </c>
      <c r="L103" s="2">
        <v>2612.2049999999999</v>
      </c>
      <c r="M103" s="2">
        <v>2392.0300000000002</v>
      </c>
      <c r="N103" s="2">
        <v>2135.5459999999998</v>
      </c>
      <c r="O103" s="10">
        <v>1859.0909999999999</v>
      </c>
      <c r="P103" s="2">
        <v>10991</v>
      </c>
      <c r="Q103" s="12">
        <v>10830</v>
      </c>
      <c r="R103" s="2">
        <v>261.06900000000002</v>
      </c>
      <c r="S103" s="2">
        <v>0.99990000000000001</v>
      </c>
      <c r="T103" s="4">
        <v>4.0000000000000002E-4</v>
      </c>
      <c r="W103" t="s">
        <v>168</v>
      </c>
      <c r="X103" s="6">
        <v>23711.7</v>
      </c>
      <c r="Y103" s="6">
        <v>16622.387999999999</v>
      </c>
      <c r="Z103" s="6">
        <v>13859.341</v>
      </c>
      <c r="AA103" s="6">
        <v>13531.906000000001</v>
      </c>
      <c r="AB103" s="6">
        <v>11625.998</v>
      </c>
      <c r="AC103" s="6">
        <v>10270.727999999999</v>
      </c>
    </row>
    <row r="104" spans="1:29" x14ac:dyDescent="0.25">
      <c r="A104" s="2">
        <v>11</v>
      </c>
      <c r="B104" s="2" t="s">
        <v>39</v>
      </c>
      <c r="C104" s="2" t="s">
        <v>40</v>
      </c>
      <c r="D104" s="2" t="str">
        <f>VLOOKUP(C104,[2]world_pop.!$C:$E,3,FALSE)</f>
        <v>Asia</v>
      </c>
      <c r="E104" s="2">
        <v>123951.692</v>
      </c>
      <c r="F104" s="2">
        <v>124612.53</v>
      </c>
      <c r="G104" s="2">
        <v>125244.761</v>
      </c>
      <c r="H104" s="2">
        <v>103784.357</v>
      </c>
      <c r="I104" s="2">
        <v>118514.802</v>
      </c>
      <c r="J104" s="2">
        <v>127250.933</v>
      </c>
      <c r="K104" s="2">
        <v>128105.431</v>
      </c>
      <c r="L104" s="2">
        <v>126803.861</v>
      </c>
      <c r="M104" s="2">
        <v>123686.321</v>
      </c>
      <c r="N104" s="2">
        <v>117624.196</v>
      </c>
      <c r="O104" s="10">
        <v>105416.83900000001</v>
      </c>
      <c r="P104" s="2">
        <v>377930</v>
      </c>
      <c r="Q104" s="12">
        <v>364500</v>
      </c>
      <c r="R104" s="2">
        <v>340.05950000000001</v>
      </c>
      <c r="S104" s="2">
        <v>0.99470000000000003</v>
      </c>
      <c r="T104" s="4">
        <v>1.55E-2</v>
      </c>
      <c r="W104" t="s">
        <v>316</v>
      </c>
      <c r="X104" s="6">
        <v>3445.2890000000002</v>
      </c>
      <c r="Y104" s="6">
        <v>2484.8629999999998</v>
      </c>
      <c r="Z104" s="6">
        <v>2105.5659999999998</v>
      </c>
      <c r="AA104" s="6">
        <v>2060.721</v>
      </c>
      <c r="AB104" s="6">
        <v>1788.9190000000001</v>
      </c>
      <c r="AC104" s="6">
        <v>1567.22</v>
      </c>
    </row>
    <row r="105" spans="1:29" x14ac:dyDescent="0.25">
      <c r="A105" s="2">
        <v>195</v>
      </c>
      <c r="B105" s="2" t="s">
        <v>407</v>
      </c>
      <c r="C105" s="2" t="s">
        <v>408</v>
      </c>
      <c r="D105" s="2" t="str">
        <f>VLOOKUP(C105,[2]world_pop.!$C:$E,3,FALSE)</f>
        <v>Europe</v>
      </c>
      <c r="E105" s="2">
        <v>110.77800000000001</v>
      </c>
      <c r="F105" s="2">
        <v>109.61799999999999</v>
      </c>
      <c r="G105" s="2">
        <v>108.319</v>
      </c>
      <c r="H105" s="2">
        <v>135.441</v>
      </c>
      <c r="I105" s="2">
        <v>119.047</v>
      </c>
      <c r="J105" s="2">
        <v>100.56100000000001</v>
      </c>
      <c r="K105" s="2">
        <v>96.150999999999996</v>
      </c>
      <c r="L105" s="2">
        <v>86.191999999999993</v>
      </c>
      <c r="M105" s="2">
        <v>82.873999999999995</v>
      </c>
      <c r="N105" s="2">
        <v>75.123999999999995</v>
      </c>
      <c r="O105" s="10">
        <v>68.346999999999994</v>
      </c>
      <c r="P105" s="2">
        <v>116</v>
      </c>
      <c r="Q105" s="12">
        <v>120</v>
      </c>
      <c r="R105" s="2">
        <v>923.15</v>
      </c>
      <c r="S105" s="2">
        <v>1.0105999999999999</v>
      </c>
      <c r="T105" s="4">
        <v>0</v>
      </c>
      <c r="W105" t="s">
        <v>346</v>
      </c>
      <c r="X105" s="6">
        <v>878.74599999999998</v>
      </c>
      <c r="Y105" s="6">
        <v>848.03300000000002</v>
      </c>
      <c r="Z105" s="6">
        <v>808.726</v>
      </c>
      <c r="AA105" s="6">
        <v>804.56700000000001</v>
      </c>
      <c r="AB105" s="6">
        <v>755.03099999999995</v>
      </c>
      <c r="AC105" s="6">
        <v>747.93200000000002</v>
      </c>
    </row>
    <row r="106" spans="1:29" x14ac:dyDescent="0.25">
      <c r="A106" s="2">
        <v>83</v>
      </c>
      <c r="B106" s="2" t="s">
        <v>183</v>
      </c>
      <c r="C106" s="2" t="s">
        <v>184</v>
      </c>
      <c r="D106" s="2" t="str">
        <f>VLOOKUP(C106,[2]world_pop.!$C:$E,3,FALSE)</f>
        <v>Asia</v>
      </c>
      <c r="E106" s="2">
        <v>11285.869000000001</v>
      </c>
      <c r="F106" s="2">
        <v>11148.278</v>
      </c>
      <c r="G106" s="2">
        <v>10928.721</v>
      </c>
      <c r="H106" s="2">
        <v>15005.941000000001</v>
      </c>
      <c r="I106" s="2">
        <v>11933.395</v>
      </c>
      <c r="J106" s="2">
        <v>9494.2459999999992</v>
      </c>
      <c r="K106" s="2">
        <v>6931.2579999999998</v>
      </c>
      <c r="L106" s="2">
        <v>5056.174</v>
      </c>
      <c r="M106" s="2">
        <v>3480.587</v>
      </c>
      <c r="N106" s="2">
        <v>2216.9029999999998</v>
      </c>
      <c r="O106" s="10">
        <v>1557.374</v>
      </c>
      <c r="P106" s="2">
        <v>89342</v>
      </c>
      <c r="Q106" s="12">
        <v>88794</v>
      </c>
      <c r="R106" s="2">
        <v>127.10169999999999</v>
      </c>
      <c r="S106" s="2">
        <v>1.0123</v>
      </c>
      <c r="T106" s="4">
        <v>1.4E-3</v>
      </c>
      <c r="W106" t="s">
        <v>182</v>
      </c>
      <c r="X106" s="6">
        <v>15087.52</v>
      </c>
      <c r="Y106" s="6">
        <v>12700.005999999999</v>
      </c>
      <c r="Z106" s="6">
        <v>11584.995999999999</v>
      </c>
      <c r="AA106" s="6">
        <v>11447.569</v>
      </c>
      <c r="AB106" s="6">
        <v>10563.757</v>
      </c>
      <c r="AC106" s="6">
        <v>9842.8799999999992</v>
      </c>
    </row>
    <row r="107" spans="1:29" x14ac:dyDescent="0.25">
      <c r="A107" s="2">
        <v>66</v>
      </c>
      <c r="B107" s="2" t="s">
        <v>149</v>
      </c>
      <c r="C107" s="2" t="s">
        <v>150</v>
      </c>
      <c r="D107" s="2" t="str">
        <f>VLOOKUP(C107,[2]world_pop.!$C:$E,3,FALSE)</f>
        <v>Asia</v>
      </c>
      <c r="E107" s="2">
        <v>19397.998</v>
      </c>
      <c r="F107" s="2">
        <v>19196.465</v>
      </c>
      <c r="G107" s="2">
        <v>18979.242999999999</v>
      </c>
      <c r="H107" s="2">
        <v>25609.977999999999</v>
      </c>
      <c r="I107" s="2">
        <v>21128.221000000001</v>
      </c>
      <c r="J107" s="2">
        <v>17835.909</v>
      </c>
      <c r="K107" s="2">
        <v>16627.837</v>
      </c>
      <c r="L107" s="2">
        <v>15236.253000000001</v>
      </c>
      <c r="M107" s="2">
        <v>16866.562999999998</v>
      </c>
      <c r="N107" s="2">
        <v>14172.71</v>
      </c>
      <c r="O107" s="10">
        <v>12265.305</v>
      </c>
      <c r="P107" s="2">
        <v>2724900</v>
      </c>
      <c r="Q107" s="12">
        <v>2699700</v>
      </c>
      <c r="R107" s="2">
        <v>7.1852</v>
      </c>
      <c r="S107" s="2">
        <v>1.0105</v>
      </c>
      <c r="T107" s="4">
        <v>2.3999999999999998E-3</v>
      </c>
      <c r="W107" t="s">
        <v>196</v>
      </c>
      <c r="X107" s="6">
        <v>14258.513999999999</v>
      </c>
      <c r="Y107" s="6">
        <v>11724.522000000001</v>
      </c>
      <c r="Z107" s="6">
        <v>10432.86</v>
      </c>
      <c r="AA107" s="6">
        <v>10278.344999999999</v>
      </c>
      <c r="AB107" s="6">
        <v>9294.5049999999992</v>
      </c>
      <c r="AC107" s="6">
        <v>8450.9330000000009</v>
      </c>
    </row>
    <row r="108" spans="1:29" x14ac:dyDescent="0.25">
      <c r="A108" s="2">
        <v>27</v>
      </c>
      <c r="B108" s="2" t="s">
        <v>71</v>
      </c>
      <c r="C108" s="2" t="s">
        <v>72</v>
      </c>
      <c r="D108" s="2" t="str">
        <f>VLOOKUP(C108,[2]world_pop.!$C:$E,3,FALSE)</f>
        <v>Africa</v>
      </c>
      <c r="E108" s="2">
        <v>54027.487000000001</v>
      </c>
      <c r="F108" s="2">
        <v>53005.614000000001</v>
      </c>
      <c r="G108" s="2">
        <v>51985.78</v>
      </c>
      <c r="H108" s="2">
        <v>85211.739000000001</v>
      </c>
      <c r="I108" s="2">
        <v>63103.942000000003</v>
      </c>
      <c r="J108" s="2">
        <v>46851.487999999998</v>
      </c>
      <c r="K108" s="2">
        <v>41517.894999999997</v>
      </c>
      <c r="L108" s="2">
        <v>30851.606</v>
      </c>
      <c r="M108" s="2">
        <v>23162.269</v>
      </c>
      <c r="N108" s="2">
        <v>16187.124</v>
      </c>
      <c r="O108" s="10">
        <v>11473.087</v>
      </c>
      <c r="P108" s="2">
        <v>580367</v>
      </c>
      <c r="Q108" s="12">
        <v>569140</v>
      </c>
      <c r="R108" s="2">
        <v>94.928299999999993</v>
      </c>
      <c r="S108" s="2">
        <v>1.0193000000000001</v>
      </c>
      <c r="T108" s="4">
        <v>6.7999999999999996E-3</v>
      </c>
      <c r="W108" t="s">
        <v>226</v>
      </c>
      <c r="X108" s="6">
        <v>6975.3909999999996</v>
      </c>
      <c r="Y108" s="6">
        <v>7485.8869999999997</v>
      </c>
      <c r="Z108" s="6">
        <v>7488.8649999999998</v>
      </c>
      <c r="AA108" s="6">
        <v>7494.5780000000004</v>
      </c>
      <c r="AB108" s="6">
        <v>7399.8379999999997</v>
      </c>
      <c r="AC108" s="6">
        <v>7132.4380000000001</v>
      </c>
    </row>
    <row r="109" spans="1:29" x14ac:dyDescent="0.25">
      <c r="A109" s="2">
        <v>192</v>
      </c>
      <c r="B109" s="2" t="s">
        <v>401</v>
      </c>
      <c r="C109" s="2" t="s">
        <v>402</v>
      </c>
      <c r="D109" s="2" t="str">
        <f>VLOOKUP(C109,[2]world_pop.!$C:$E,3,FALSE)</f>
        <v>Oceania</v>
      </c>
      <c r="E109" s="2">
        <v>131.232</v>
      </c>
      <c r="F109" s="2">
        <v>128.874</v>
      </c>
      <c r="G109" s="2">
        <v>126.46299999999999</v>
      </c>
      <c r="H109" s="2">
        <v>188.57</v>
      </c>
      <c r="I109" s="2">
        <v>148.72</v>
      </c>
      <c r="J109" s="2">
        <v>116.70699999999999</v>
      </c>
      <c r="K109" s="2">
        <v>107.995</v>
      </c>
      <c r="L109" s="2">
        <v>88.825999999999993</v>
      </c>
      <c r="M109" s="2">
        <v>75.123999999999995</v>
      </c>
      <c r="N109" s="2">
        <v>60.813000000000002</v>
      </c>
      <c r="O109" s="10">
        <v>57.436999999999998</v>
      </c>
      <c r="P109" s="2">
        <v>811</v>
      </c>
      <c r="Q109" s="12">
        <v>810</v>
      </c>
      <c r="R109" s="2">
        <v>162.01480000000001</v>
      </c>
      <c r="S109" s="2">
        <v>1.0183</v>
      </c>
      <c r="T109" s="4">
        <v>0</v>
      </c>
      <c r="W109" t="s">
        <v>206</v>
      </c>
      <c r="X109" s="6">
        <v>8817.3960000000006</v>
      </c>
      <c r="Y109" s="6">
        <v>9642.9120000000003</v>
      </c>
      <c r="Z109" s="6">
        <v>9967.3080000000009</v>
      </c>
      <c r="AA109" s="6">
        <v>9709.7860000000001</v>
      </c>
      <c r="AB109" s="6">
        <v>9844.2459999999992</v>
      </c>
      <c r="AC109" s="6">
        <v>9986.8250000000007</v>
      </c>
    </row>
    <row r="110" spans="1:29" x14ac:dyDescent="0.25">
      <c r="A110" s="2">
        <v>129</v>
      </c>
      <c r="B110" s="2" t="s">
        <v>275</v>
      </c>
      <c r="C110" s="2" t="s">
        <v>276</v>
      </c>
      <c r="D110" s="2" t="str">
        <f>VLOOKUP(C110,[2]world_pop.!$C:$E,3,FALSE)</f>
        <v>Asia</v>
      </c>
      <c r="E110" s="2">
        <v>4268.8729999999996</v>
      </c>
      <c r="F110" s="2">
        <v>4250.1139999999996</v>
      </c>
      <c r="G110" s="2">
        <v>4360.4440000000004</v>
      </c>
      <c r="H110" s="2">
        <v>5155.4139999999998</v>
      </c>
      <c r="I110" s="2">
        <v>4564.57</v>
      </c>
      <c r="J110" s="2">
        <v>3908.7429999999999</v>
      </c>
      <c r="K110" s="2">
        <v>2943.3560000000002</v>
      </c>
      <c r="L110" s="2">
        <v>1934.9010000000001</v>
      </c>
      <c r="M110" s="2">
        <v>1674.9380000000001</v>
      </c>
      <c r="N110" s="2">
        <v>1493.87</v>
      </c>
      <c r="O110" s="10">
        <v>802.78599999999994</v>
      </c>
      <c r="P110" s="2">
        <v>17818</v>
      </c>
      <c r="Q110" s="12">
        <v>17820</v>
      </c>
      <c r="R110" s="2">
        <v>239.55520000000001</v>
      </c>
      <c r="S110" s="2">
        <v>1.0044</v>
      </c>
      <c r="T110" s="4">
        <v>5.0000000000000001E-4</v>
      </c>
      <c r="W110" t="s">
        <v>376</v>
      </c>
      <c r="X110" s="6">
        <v>408.78300000000002</v>
      </c>
      <c r="Y110" s="6">
        <v>390.33800000000002</v>
      </c>
      <c r="Z110" s="6">
        <v>372.899</v>
      </c>
      <c r="AA110" s="6">
        <v>370.33499999999998</v>
      </c>
      <c r="AB110" s="6">
        <v>331.06</v>
      </c>
      <c r="AC110" s="6">
        <v>318.33300000000003</v>
      </c>
    </row>
    <row r="111" spans="1:29" x14ac:dyDescent="0.25">
      <c r="A111" s="2">
        <v>110</v>
      </c>
      <c r="B111" s="2" t="s">
        <v>237</v>
      </c>
      <c r="C111" s="2" t="s">
        <v>238</v>
      </c>
      <c r="D111" s="2" t="str">
        <f>VLOOKUP(C111,[2]world_pop.!$C:$E,3,FALSE)</f>
        <v>Asia</v>
      </c>
      <c r="E111" s="2">
        <v>6630.6229999999996</v>
      </c>
      <c r="F111" s="2">
        <v>6527.7430000000004</v>
      </c>
      <c r="G111" s="2">
        <v>6424.8739999999998</v>
      </c>
      <c r="H111" s="2">
        <v>9426.8580000000002</v>
      </c>
      <c r="I111" s="2">
        <v>7435.3779999999997</v>
      </c>
      <c r="J111" s="2">
        <v>5914.98</v>
      </c>
      <c r="K111" s="2">
        <v>5483.7740000000003</v>
      </c>
      <c r="L111" s="2">
        <v>4935.1819999999998</v>
      </c>
      <c r="M111" s="2">
        <v>4394.7340000000004</v>
      </c>
      <c r="N111" s="2">
        <v>3691.2089999999998</v>
      </c>
      <c r="O111" s="10">
        <v>3016.384</v>
      </c>
      <c r="P111" s="2">
        <v>199951</v>
      </c>
      <c r="Q111" s="12">
        <v>191800</v>
      </c>
      <c r="R111" s="2">
        <v>34.570500000000003</v>
      </c>
      <c r="S111" s="2">
        <v>1.0158</v>
      </c>
      <c r="T111" s="4">
        <v>8.0000000000000004E-4</v>
      </c>
      <c r="W111" t="s">
        <v>22</v>
      </c>
      <c r="X111" s="6">
        <v>1670490.5959999999</v>
      </c>
      <c r="Y111" s="6">
        <v>1514994.08</v>
      </c>
      <c r="Z111" s="6">
        <v>1417173.173</v>
      </c>
      <c r="AA111" s="6">
        <v>1407563.8419999999</v>
      </c>
      <c r="AB111" s="6">
        <v>1322866.5049999999</v>
      </c>
      <c r="AC111" s="6">
        <v>1240613.6200000001</v>
      </c>
    </row>
    <row r="112" spans="1:29" x14ac:dyDescent="0.25">
      <c r="A112" s="2">
        <v>103</v>
      </c>
      <c r="B112" s="2" t="s">
        <v>223</v>
      </c>
      <c r="C112" s="2" t="s">
        <v>224</v>
      </c>
      <c r="D112" s="2" t="str">
        <f>VLOOKUP(C112,[2]world_pop.!$C:$E,3,FALSE)</f>
        <v>Asia</v>
      </c>
      <c r="E112" s="2">
        <v>7529.4750000000004</v>
      </c>
      <c r="F112" s="2">
        <v>7425.0569999999998</v>
      </c>
      <c r="G112" s="2">
        <v>7319.3990000000003</v>
      </c>
      <c r="H112" s="2">
        <v>9775.5519999999997</v>
      </c>
      <c r="I112" s="2">
        <v>8321.2870000000003</v>
      </c>
      <c r="J112" s="2">
        <v>6787.4189999999999</v>
      </c>
      <c r="K112" s="2">
        <v>6323.4179999999997</v>
      </c>
      <c r="L112" s="2">
        <v>5430.8530000000001</v>
      </c>
      <c r="M112" s="2">
        <v>4314.4430000000002</v>
      </c>
      <c r="N112" s="2">
        <v>3297.5189999999998</v>
      </c>
      <c r="O112" s="10">
        <v>2675.2829999999999</v>
      </c>
      <c r="P112" s="2">
        <v>236800</v>
      </c>
      <c r="Q112" s="12">
        <v>230800</v>
      </c>
      <c r="R112" s="2">
        <v>32.623399999999997</v>
      </c>
      <c r="S112" s="2">
        <v>1.0141</v>
      </c>
      <c r="T112" s="4">
        <v>8.9999999999999998E-4</v>
      </c>
      <c r="W112" t="s">
        <v>26</v>
      </c>
      <c r="X112" s="6">
        <v>317225.21299999999</v>
      </c>
      <c r="Y112" s="6">
        <v>292150.09999999998</v>
      </c>
      <c r="Z112" s="6">
        <v>275501.33899999998</v>
      </c>
      <c r="AA112" s="6">
        <v>273753.19099999999</v>
      </c>
      <c r="AB112" s="6">
        <v>259091.97</v>
      </c>
      <c r="AC112" s="6">
        <v>244016.17300000001</v>
      </c>
    </row>
    <row r="113" spans="1:29" x14ac:dyDescent="0.25">
      <c r="A113" s="2">
        <v>151</v>
      </c>
      <c r="B113" s="2" t="s">
        <v>319</v>
      </c>
      <c r="C113" s="2" t="s">
        <v>320</v>
      </c>
      <c r="D113" s="2" t="str">
        <f>VLOOKUP(C113,[2]world_pop.!$C:$E,3,FALSE)</f>
        <v>Europe</v>
      </c>
      <c r="E113" s="2">
        <v>1850.6510000000001</v>
      </c>
      <c r="F113" s="2">
        <v>1873.9190000000001</v>
      </c>
      <c r="G113" s="2">
        <v>1897.0519999999999</v>
      </c>
      <c r="H113" s="2">
        <v>1433.7280000000001</v>
      </c>
      <c r="I113" s="2">
        <v>1701.338</v>
      </c>
      <c r="J113" s="2">
        <v>1991.9549999999999</v>
      </c>
      <c r="K113" s="2">
        <v>2101.5300000000002</v>
      </c>
      <c r="L113" s="2">
        <v>2392.5300000000002</v>
      </c>
      <c r="M113" s="2">
        <v>2689.3910000000001</v>
      </c>
      <c r="N113" s="2">
        <v>2572.0369999999998</v>
      </c>
      <c r="O113" s="10">
        <v>2397.4140000000002</v>
      </c>
      <c r="P113" s="2">
        <v>64559</v>
      </c>
      <c r="Q113" s="12">
        <v>62230</v>
      </c>
      <c r="R113" s="2">
        <v>29.738900000000001</v>
      </c>
      <c r="S113" s="2">
        <v>0.98760000000000003</v>
      </c>
      <c r="T113" s="4">
        <v>2.0000000000000001E-4</v>
      </c>
      <c r="W113" t="s">
        <v>52</v>
      </c>
      <c r="X113" s="6">
        <v>99007.203999999998</v>
      </c>
      <c r="Y113" s="6">
        <v>92921.017000000007</v>
      </c>
      <c r="Z113" s="6">
        <v>88550.57</v>
      </c>
      <c r="AA113" s="6">
        <v>87923.432000000001</v>
      </c>
      <c r="AB113" s="6">
        <v>81790.841</v>
      </c>
      <c r="AC113" s="6">
        <v>75373.854999999996</v>
      </c>
    </row>
    <row r="114" spans="1:29" x14ac:dyDescent="0.25">
      <c r="A114" s="2">
        <v>119</v>
      </c>
      <c r="B114" s="2" t="s">
        <v>255</v>
      </c>
      <c r="C114" s="2" t="s">
        <v>256</v>
      </c>
      <c r="D114" s="2" t="str">
        <f>VLOOKUP(C114,[2]world_pop.!$C:$E,3,FALSE)</f>
        <v>Asia</v>
      </c>
      <c r="E114" s="2">
        <v>5489.7389999999996</v>
      </c>
      <c r="F114" s="2">
        <v>5592.6310000000003</v>
      </c>
      <c r="G114" s="2">
        <v>5662.9229999999998</v>
      </c>
      <c r="H114" s="2">
        <v>4937.5789999999997</v>
      </c>
      <c r="I114" s="2">
        <v>4714.24</v>
      </c>
      <c r="J114" s="2">
        <v>6398.94</v>
      </c>
      <c r="K114" s="2">
        <v>4995.8</v>
      </c>
      <c r="L114" s="2">
        <v>4320.6419999999998</v>
      </c>
      <c r="M114" s="2">
        <v>3593.7</v>
      </c>
      <c r="N114" s="2">
        <v>2963.7020000000002</v>
      </c>
      <c r="O114" s="10">
        <v>2381.7910000000002</v>
      </c>
      <c r="P114" s="2">
        <v>10452</v>
      </c>
      <c r="Q114" s="12">
        <v>10230</v>
      </c>
      <c r="R114" s="2">
        <v>536.63139999999999</v>
      </c>
      <c r="S114" s="2">
        <v>0.98160000000000003</v>
      </c>
      <c r="T114" s="4">
        <v>6.9999999999999999E-4</v>
      </c>
      <c r="W114" t="s">
        <v>88</v>
      </c>
      <c r="X114" s="6">
        <v>74515.14</v>
      </c>
      <c r="Y114" s="6">
        <v>52800.824999999997</v>
      </c>
      <c r="Z114" s="6">
        <v>44496.122000000003</v>
      </c>
      <c r="AA114" s="6">
        <v>43533.591999999997</v>
      </c>
      <c r="AB114" s="6">
        <v>37757.813000000002</v>
      </c>
      <c r="AC114" s="6">
        <v>31264.875</v>
      </c>
    </row>
    <row r="115" spans="1:29" x14ac:dyDescent="0.25">
      <c r="A115" s="2">
        <v>147</v>
      </c>
      <c r="B115" s="2" t="s">
        <v>311</v>
      </c>
      <c r="C115" s="2" t="s">
        <v>312</v>
      </c>
      <c r="D115" s="2" t="str">
        <f>VLOOKUP(C115,[2]world_pop.!$C:$E,3,FALSE)</f>
        <v>Africa</v>
      </c>
      <c r="E115" s="2">
        <v>2305.8249999999998</v>
      </c>
      <c r="F115" s="2">
        <v>2281.4540000000002</v>
      </c>
      <c r="G115" s="2">
        <v>2254.1</v>
      </c>
      <c r="H115" s="2">
        <v>2898.3690000000001</v>
      </c>
      <c r="I115" s="2">
        <v>2501.9459999999999</v>
      </c>
      <c r="J115" s="2">
        <v>2118.5210000000002</v>
      </c>
      <c r="K115" s="2">
        <v>2022.7470000000001</v>
      </c>
      <c r="L115" s="2">
        <v>1998.63</v>
      </c>
      <c r="M115" s="2">
        <v>1798.9970000000001</v>
      </c>
      <c r="N115" s="2">
        <v>1407.672</v>
      </c>
      <c r="O115" s="10">
        <v>1023.481</v>
      </c>
      <c r="P115" s="2">
        <v>30355</v>
      </c>
      <c r="Q115" s="12">
        <v>30360</v>
      </c>
      <c r="R115" s="2">
        <v>75.949399999999997</v>
      </c>
      <c r="S115" s="2">
        <v>1.0106999999999999</v>
      </c>
      <c r="T115" s="4">
        <v>2.9999999999999997E-4</v>
      </c>
      <c r="W115" t="s">
        <v>268</v>
      </c>
      <c r="X115" s="6">
        <v>5724.6859999999997</v>
      </c>
      <c r="Y115" s="6">
        <v>5266.8810000000003</v>
      </c>
      <c r="Z115" s="6">
        <v>5023.1090000000004</v>
      </c>
      <c r="AA115" s="6">
        <v>4986.5259999999998</v>
      </c>
      <c r="AB115" s="6">
        <v>4665.76</v>
      </c>
      <c r="AC115" s="6">
        <v>4524.585</v>
      </c>
    </row>
    <row r="116" spans="1:29" x14ac:dyDescent="0.25">
      <c r="A116" s="2">
        <v>121</v>
      </c>
      <c r="B116" s="2" t="s">
        <v>259</v>
      </c>
      <c r="C116" s="2" t="s">
        <v>260</v>
      </c>
      <c r="D116" s="2" t="str">
        <f>VLOOKUP(C116,[2]world_pop.!$C:$E,3,FALSE)</f>
        <v>Africa</v>
      </c>
      <c r="E116" s="2">
        <v>5302.6809999999996</v>
      </c>
      <c r="F116" s="2">
        <v>5193.4160000000002</v>
      </c>
      <c r="G116" s="2">
        <v>5087.5839999999998</v>
      </c>
      <c r="H116" s="2">
        <v>8890.7000000000007</v>
      </c>
      <c r="I116" s="2">
        <v>6282.0739999999996</v>
      </c>
      <c r="J116" s="2">
        <v>4612.3289999999997</v>
      </c>
      <c r="K116" s="2">
        <v>4019.9560000000001</v>
      </c>
      <c r="L116" s="2">
        <v>2895.2240000000002</v>
      </c>
      <c r="M116" s="2">
        <v>2209.7310000000002</v>
      </c>
      <c r="N116" s="2">
        <v>1932.1690000000001</v>
      </c>
      <c r="O116" s="10">
        <v>1463.5630000000001</v>
      </c>
      <c r="P116" s="2">
        <v>111369</v>
      </c>
      <c r="Q116" s="12">
        <v>96320</v>
      </c>
      <c r="R116" s="2">
        <v>55.052799999999998</v>
      </c>
      <c r="S116" s="2">
        <v>1.0209999999999999</v>
      </c>
      <c r="T116" s="4">
        <v>6.9999999999999999E-4</v>
      </c>
      <c r="W116" t="s">
        <v>422</v>
      </c>
      <c r="X116" s="6">
        <v>86.68</v>
      </c>
      <c r="Y116" s="6">
        <v>85.798000000000002</v>
      </c>
      <c r="Z116" s="6">
        <v>84.519000000000005</v>
      </c>
      <c r="AA116" s="6">
        <v>84.263000000000005</v>
      </c>
      <c r="AB116" s="6">
        <v>83.593000000000004</v>
      </c>
      <c r="AC116" s="6">
        <v>83.828000000000003</v>
      </c>
    </row>
    <row r="117" spans="1:29" x14ac:dyDescent="0.25">
      <c r="A117" s="2">
        <v>107</v>
      </c>
      <c r="B117" s="2" t="s">
        <v>231</v>
      </c>
      <c r="C117" s="2" t="s">
        <v>232</v>
      </c>
      <c r="D117" s="2" t="str">
        <f>VLOOKUP(C117,[2]world_pop.!$C:$E,3,FALSE)</f>
        <v>Africa</v>
      </c>
      <c r="E117" s="2">
        <v>6812.3410000000003</v>
      </c>
      <c r="F117" s="2">
        <v>6735.277</v>
      </c>
      <c r="G117" s="2">
        <v>6653.942</v>
      </c>
      <c r="H117" s="2">
        <v>8539.9760000000006</v>
      </c>
      <c r="I117" s="2">
        <v>7394.8130000000001</v>
      </c>
      <c r="J117" s="2">
        <v>6192.2349999999997</v>
      </c>
      <c r="K117" s="2">
        <v>6491.9880000000003</v>
      </c>
      <c r="L117" s="2">
        <v>5154.79</v>
      </c>
      <c r="M117" s="2">
        <v>4236.9830000000002</v>
      </c>
      <c r="N117" s="2">
        <v>2962.72</v>
      </c>
      <c r="O117" s="10">
        <v>1909.1769999999999</v>
      </c>
      <c r="P117" s="2">
        <v>1759540</v>
      </c>
      <c r="Q117" s="12">
        <v>1759540</v>
      </c>
      <c r="R117" s="2">
        <v>3.8717000000000001</v>
      </c>
      <c r="S117" s="2">
        <v>1.0114000000000001</v>
      </c>
      <c r="T117" s="4">
        <v>8.9999999999999998E-4</v>
      </c>
      <c r="W117" t="s">
        <v>214</v>
      </c>
      <c r="X117" s="6">
        <v>12991.79</v>
      </c>
      <c r="Y117" s="6">
        <v>10134.950999999999</v>
      </c>
      <c r="Z117" s="6">
        <v>9038.3089999999993</v>
      </c>
      <c r="AA117" s="6">
        <v>8900.0589999999993</v>
      </c>
      <c r="AB117" s="6">
        <v>8007.7780000000002</v>
      </c>
      <c r="AC117" s="6">
        <v>7328.4449999999997</v>
      </c>
    </row>
    <row r="118" spans="1:29" x14ac:dyDescent="0.25">
      <c r="A118" s="2">
        <v>216</v>
      </c>
      <c r="B118" s="2" t="s">
        <v>449</v>
      </c>
      <c r="C118" s="2" t="s">
        <v>450</v>
      </c>
      <c r="D118" s="2" t="str">
        <f>VLOOKUP(C118,[2]world_pop.!$C:$E,3,FALSE)</f>
        <v>Europe</v>
      </c>
      <c r="E118" s="2">
        <v>39.326999999999998</v>
      </c>
      <c r="F118" s="2">
        <v>39.039000000000001</v>
      </c>
      <c r="G118" s="2">
        <v>38.756</v>
      </c>
      <c r="H118" s="2">
        <v>42.286999999999999</v>
      </c>
      <c r="I118" s="2">
        <v>41.03</v>
      </c>
      <c r="J118" s="2">
        <v>37.354999999999997</v>
      </c>
      <c r="K118" s="2">
        <v>35.926000000000002</v>
      </c>
      <c r="L118" s="2">
        <v>33.026000000000003</v>
      </c>
      <c r="M118" s="2">
        <v>28.765000000000001</v>
      </c>
      <c r="N118" s="2">
        <v>25.003</v>
      </c>
      <c r="O118" s="10">
        <v>21.088999999999999</v>
      </c>
      <c r="P118" s="2">
        <v>160</v>
      </c>
      <c r="Q118" s="12">
        <v>160</v>
      </c>
      <c r="R118" s="2">
        <v>245.7937</v>
      </c>
      <c r="S118" s="2">
        <v>1.0074000000000001</v>
      </c>
      <c r="T118" s="4">
        <v>0</v>
      </c>
      <c r="W118" t="s">
        <v>68</v>
      </c>
      <c r="X118" s="6">
        <v>52250.483999999997</v>
      </c>
      <c r="Y118" s="6">
        <v>57544.258000000002</v>
      </c>
      <c r="Z118" s="6">
        <v>59037.474000000002</v>
      </c>
      <c r="AA118" s="6">
        <v>59240.328999999998</v>
      </c>
      <c r="AB118" s="6">
        <v>60232.906000000003</v>
      </c>
      <c r="AC118" s="6">
        <v>59822.45</v>
      </c>
    </row>
    <row r="119" spans="1:29" x14ac:dyDescent="0.25">
      <c r="A119" s="2">
        <v>141</v>
      </c>
      <c r="B119" s="2" t="s">
        <v>299</v>
      </c>
      <c r="C119" s="2" t="s">
        <v>300</v>
      </c>
      <c r="D119" s="2" t="str">
        <f>VLOOKUP(C119,[2]world_pop.!$C:$E,3,FALSE)</f>
        <v>Europe</v>
      </c>
      <c r="E119" s="2">
        <v>2750.0549999999998</v>
      </c>
      <c r="F119" s="2">
        <v>2786.6509999999998</v>
      </c>
      <c r="G119" s="2">
        <v>2820.2669999999998</v>
      </c>
      <c r="H119" s="2">
        <v>2187.5500000000002</v>
      </c>
      <c r="I119" s="2">
        <v>2558.9279999999999</v>
      </c>
      <c r="J119" s="2">
        <v>2963.7649999999999</v>
      </c>
      <c r="K119" s="2">
        <v>3139.0189999999998</v>
      </c>
      <c r="L119" s="2">
        <v>3599.6370000000002</v>
      </c>
      <c r="M119" s="2">
        <v>3785.8470000000002</v>
      </c>
      <c r="N119" s="2">
        <v>3521.2060000000001</v>
      </c>
      <c r="O119" s="10">
        <v>3210.1469999999999</v>
      </c>
      <c r="P119" s="2">
        <v>65300</v>
      </c>
      <c r="Q119" s="12">
        <v>62620</v>
      </c>
      <c r="R119" s="2">
        <v>43.916600000000003</v>
      </c>
      <c r="S119" s="2">
        <v>0.9869</v>
      </c>
      <c r="T119" s="4">
        <v>2.9999999999999997E-4</v>
      </c>
      <c r="W119" t="s">
        <v>122</v>
      </c>
      <c r="X119" s="6">
        <v>51358.243000000002</v>
      </c>
      <c r="Y119" s="6">
        <v>34211.271999999997</v>
      </c>
      <c r="Z119" s="6">
        <v>28160.542000000001</v>
      </c>
      <c r="AA119" s="6">
        <v>27478.249</v>
      </c>
      <c r="AB119" s="6">
        <v>23596.741000000002</v>
      </c>
      <c r="AC119" s="6">
        <v>21120.042000000001</v>
      </c>
    </row>
    <row r="120" spans="1:29" x14ac:dyDescent="0.25">
      <c r="A120" s="2">
        <v>168</v>
      </c>
      <c r="B120" s="2" t="s">
        <v>353</v>
      </c>
      <c r="C120" s="2" t="s">
        <v>354</v>
      </c>
      <c r="D120" s="2" t="str">
        <f>VLOOKUP(C120,[2]world_pop.!$C:$E,3,FALSE)</f>
        <v>Europe</v>
      </c>
      <c r="E120" s="2">
        <v>647.59900000000005</v>
      </c>
      <c r="F120" s="2">
        <v>639.32100000000003</v>
      </c>
      <c r="G120" s="2">
        <v>630.399</v>
      </c>
      <c r="H120" s="2">
        <v>781.91</v>
      </c>
      <c r="I120" s="2">
        <v>697.08600000000001</v>
      </c>
      <c r="J120" s="2">
        <v>569.40800000000002</v>
      </c>
      <c r="K120" s="2">
        <v>507.07</v>
      </c>
      <c r="L120" s="2">
        <v>435.62799999999999</v>
      </c>
      <c r="M120" s="2">
        <v>381.267</v>
      </c>
      <c r="N120" s="2">
        <v>363.74099999999999</v>
      </c>
      <c r="O120" s="10">
        <v>339.34199999999998</v>
      </c>
      <c r="P120" s="2">
        <v>2586</v>
      </c>
      <c r="Q120" s="12">
        <v>2574.5</v>
      </c>
      <c r="R120" s="2">
        <v>251.5436</v>
      </c>
      <c r="S120" s="2">
        <v>1.0128999999999999</v>
      </c>
      <c r="T120" s="4">
        <v>1E-4</v>
      </c>
      <c r="W120" t="s">
        <v>296</v>
      </c>
      <c r="X120" s="6">
        <v>2493.8229999999999</v>
      </c>
      <c r="Y120" s="6">
        <v>2804.3560000000002</v>
      </c>
      <c r="Z120" s="6">
        <v>2827.377</v>
      </c>
      <c r="AA120" s="6">
        <v>2827.6950000000002</v>
      </c>
      <c r="AB120" s="6">
        <v>2794.4450000000002</v>
      </c>
      <c r="AC120" s="6">
        <v>2733.8960000000002</v>
      </c>
    </row>
    <row r="121" spans="1:29" x14ac:dyDescent="0.25">
      <c r="A121" s="2">
        <v>167</v>
      </c>
      <c r="B121" s="2" t="s">
        <v>351</v>
      </c>
      <c r="C121" s="2" t="s">
        <v>352</v>
      </c>
      <c r="D121" s="2" t="str">
        <f>VLOOKUP(C121,[2]world_pop.!$C:$E,3,FALSE)</f>
        <v>Asia</v>
      </c>
      <c r="E121" s="2">
        <v>695.16800000000001</v>
      </c>
      <c r="F121" s="2">
        <v>686.60699999999997</v>
      </c>
      <c r="G121" s="2">
        <v>676.28300000000002</v>
      </c>
      <c r="H121" s="2">
        <v>881.66600000000005</v>
      </c>
      <c r="I121" s="2">
        <v>763.37099999999998</v>
      </c>
      <c r="J121" s="2">
        <v>615.23900000000003</v>
      </c>
      <c r="K121" s="2">
        <v>557.29700000000003</v>
      </c>
      <c r="L121" s="2">
        <v>431.89600000000002</v>
      </c>
      <c r="M121" s="2">
        <v>350.22699999999998</v>
      </c>
      <c r="N121" s="2">
        <v>245.33199999999999</v>
      </c>
      <c r="O121" s="10">
        <v>247.28399999999999</v>
      </c>
      <c r="P121" s="2">
        <v>30</v>
      </c>
      <c r="Q121" s="12">
        <v>32.9</v>
      </c>
      <c r="R121" s="2">
        <v>21129.7264</v>
      </c>
      <c r="S121" s="2">
        <v>1.0125</v>
      </c>
      <c r="T121" s="4">
        <v>1E-4</v>
      </c>
      <c r="W121" t="s">
        <v>40</v>
      </c>
      <c r="X121" s="6">
        <v>103784.357</v>
      </c>
      <c r="Y121" s="6">
        <v>118514.802</v>
      </c>
      <c r="Z121" s="6">
        <v>123951.692</v>
      </c>
      <c r="AA121" s="6">
        <v>124612.53</v>
      </c>
      <c r="AB121" s="6">
        <v>127250.933</v>
      </c>
      <c r="AC121" s="6">
        <v>128105.431</v>
      </c>
    </row>
    <row r="122" spans="1:29" x14ac:dyDescent="0.25">
      <c r="A122" s="2">
        <v>50</v>
      </c>
      <c r="B122" s="2" t="s">
        <v>117</v>
      </c>
      <c r="C122" s="2" t="s">
        <v>118</v>
      </c>
      <c r="D122" s="2" t="str">
        <f>VLOOKUP(C122,[2]world_pop.!$C:$E,3,FALSE)</f>
        <v>Africa</v>
      </c>
      <c r="E122" s="2">
        <v>29611.714</v>
      </c>
      <c r="F122" s="2">
        <v>28915.652999999998</v>
      </c>
      <c r="G122" s="2">
        <v>28225.177</v>
      </c>
      <c r="H122" s="2">
        <v>51592.964999999997</v>
      </c>
      <c r="I122" s="2">
        <v>35604.442999999999</v>
      </c>
      <c r="J122" s="2">
        <v>24850.912</v>
      </c>
      <c r="K122" s="2">
        <v>21731.053</v>
      </c>
      <c r="L122" s="2">
        <v>16216.431</v>
      </c>
      <c r="M122" s="2">
        <v>11882.762000000001</v>
      </c>
      <c r="N122" s="2">
        <v>8948.1620000000003</v>
      </c>
      <c r="O122" s="10">
        <v>6639.7510000000002</v>
      </c>
      <c r="P122" s="2">
        <v>587041</v>
      </c>
      <c r="Q122" s="12">
        <v>581800</v>
      </c>
      <c r="R122" s="2">
        <v>50.896700000000003</v>
      </c>
      <c r="S122" s="2">
        <v>1.0241</v>
      </c>
      <c r="T122" s="4">
        <v>3.7000000000000002E-3</v>
      </c>
      <c r="W122" t="s">
        <v>408</v>
      </c>
      <c r="X122" s="6">
        <v>135.441</v>
      </c>
      <c r="Y122" s="6">
        <v>119.047</v>
      </c>
      <c r="Z122" s="6">
        <v>110.77800000000001</v>
      </c>
      <c r="AA122" s="6">
        <v>109.61799999999999</v>
      </c>
      <c r="AB122" s="6">
        <v>100.56100000000001</v>
      </c>
      <c r="AC122" s="6">
        <v>96.150999999999996</v>
      </c>
    </row>
    <row r="123" spans="1:29" x14ac:dyDescent="0.25">
      <c r="A123" s="2">
        <v>62</v>
      </c>
      <c r="B123" s="2" t="s">
        <v>141</v>
      </c>
      <c r="C123" s="2" t="s">
        <v>142</v>
      </c>
      <c r="D123" s="2" t="str">
        <f>VLOOKUP(C123,[2]world_pop.!$C:$E,3,FALSE)</f>
        <v>Africa</v>
      </c>
      <c r="E123" s="2">
        <v>20405.316999999999</v>
      </c>
      <c r="F123" s="2">
        <v>19889.741999999998</v>
      </c>
      <c r="G123" s="2">
        <v>19377.061000000002</v>
      </c>
      <c r="H123" s="2">
        <v>37159.300000000003</v>
      </c>
      <c r="I123" s="2">
        <v>24944.242999999999</v>
      </c>
      <c r="J123" s="2">
        <v>16938.941999999999</v>
      </c>
      <c r="K123" s="2">
        <v>14718.422</v>
      </c>
      <c r="L123" s="2">
        <v>11229.387000000001</v>
      </c>
      <c r="M123" s="2">
        <v>9539.6650000000009</v>
      </c>
      <c r="N123" s="2">
        <v>6267.3689999999997</v>
      </c>
      <c r="O123" s="10">
        <v>4625.1409999999996</v>
      </c>
      <c r="P123" s="2">
        <v>118484</v>
      </c>
      <c r="Q123" s="12">
        <v>94280</v>
      </c>
      <c r="R123" s="2">
        <v>216.4331</v>
      </c>
      <c r="S123" s="2">
        <v>1.0259</v>
      </c>
      <c r="T123" s="4">
        <v>2.5999999999999999E-3</v>
      </c>
      <c r="W123" t="s">
        <v>184</v>
      </c>
      <c r="X123" s="6">
        <v>15005.941000000001</v>
      </c>
      <c r="Y123" s="6">
        <v>11933.395</v>
      </c>
      <c r="Z123" s="6">
        <v>11285.869000000001</v>
      </c>
      <c r="AA123" s="6">
        <v>11148.278</v>
      </c>
      <c r="AB123" s="6">
        <v>9494.2459999999992</v>
      </c>
      <c r="AC123" s="6">
        <v>6931.2579999999998</v>
      </c>
    </row>
    <row r="124" spans="1:29" x14ac:dyDescent="0.25">
      <c r="A124" s="2">
        <v>45</v>
      </c>
      <c r="B124" s="2" t="s">
        <v>107</v>
      </c>
      <c r="C124" s="2" t="s">
        <v>108</v>
      </c>
      <c r="D124" s="2" t="str">
        <f>VLOOKUP(C124,[2]world_pop.!$C:$E,3,FALSE)</f>
        <v>Asia</v>
      </c>
      <c r="E124" s="2">
        <v>33938.220999999998</v>
      </c>
      <c r="F124" s="2">
        <v>33573.874000000003</v>
      </c>
      <c r="G124" s="2">
        <v>33199.993000000002</v>
      </c>
      <c r="H124" s="2">
        <v>41032.432999999997</v>
      </c>
      <c r="I124" s="2">
        <v>36687.569000000003</v>
      </c>
      <c r="J124" s="2">
        <v>31068.832999999999</v>
      </c>
      <c r="K124" s="2">
        <v>28717.731</v>
      </c>
      <c r="L124" s="2">
        <v>22945.15</v>
      </c>
      <c r="M124" s="2">
        <v>17517.054</v>
      </c>
      <c r="N124" s="2">
        <v>13215.707</v>
      </c>
      <c r="O124" s="10">
        <v>10306.508</v>
      </c>
      <c r="P124" s="2">
        <v>330803</v>
      </c>
      <c r="Q124" s="12">
        <v>328550</v>
      </c>
      <c r="R124" s="2">
        <v>103.297</v>
      </c>
      <c r="S124" s="2">
        <v>1.0108999999999999</v>
      </c>
      <c r="T124" s="4">
        <v>4.3E-3</v>
      </c>
      <c r="W124" t="s">
        <v>150</v>
      </c>
      <c r="X124" s="6">
        <v>25609.977999999999</v>
      </c>
      <c r="Y124" s="6">
        <v>21128.221000000001</v>
      </c>
      <c r="Z124" s="6">
        <v>19397.998</v>
      </c>
      <c r="AA124" s="6">
        <v>19196.465</v>
      </c>
      <c r="AB124" s="6">
        <v>17835.909</v>
      </c>
      <c r="AC124" s="6">
        <v>16627.837</v>
      </c>
    </row>
    <row r="125" spans="1:29" x14ac:dyDescent="0.25">
      <c r="A125" s="2">
        <v>174</v>
      </c>
      <c r="B125" s="2" t="s">
        <v>365</v>
      </c>
      <c r="C125" s="2" t="s">
        <v>366</v>
      </c>
      <c r="D125" s="2" t="str">
        <f>VLOOKUP(C125,[2]world_pop.!$C:$E,3,FALSE)</f>
        <v>Asia</v>
      </c>
      <c r="E125" s="2">
        <v>523.78700000000003</v>
      </c>
      <c r="F125" s="2">
        <v>521.45699999999999</v>
      </c>
      <c r="G125" s="2">
        <v>514.43799999999999</v>
      </c>
      <c r="H125" s="2">
        <v>569.90899999999999</v>
      </c>
      <c r="I125" s="2">
        <v>512.68299999999999</v>
      </c>
      <c r="J125" s="2">
        <v>435.58199999999999</v>
      </c>
      <c r="K125" s="2">
        <v>361.57499999999999</v>
      </c>
      <c r="L125" s="2">
        <v>282.50700000000001</v>
      </c>
      <c r="M125" s="2">
        <v>224.95699999999999</v>
      </c>
      <c r="N125" s="2">
        <v>164.887</v>
      </c>
      <c r="O125" s="10">
        <v>123.24299999999999</v>
      </c>
      <c r="P125" s="2">
        <v>300</v>
      </c>
      <c r="Q125" s="12">
        <v>300</v>
      </c>
      <c r="R125" s="2">
        <v>1745.9567</v>
      </c>
      <c r="S125" s="2">
        <v>1.0044999999999999</v>
      </c>
      <c r="T125" s="4">
        <v>1E-4</v>
      </c>
      <c r="W125" t="s">
        <v>72</v>
      </c>
      <c r="X125" s="6">
        <v>85211.739000000001</v>
      </c>
      <c r="Y125" s="6">
        <v>63103.942000000003</v>
      </c>
      <c r="Z125" s="6">
        <v>54027.487000000001</v>
      </c>
      <c r="AA125" s="6">
        <v>53005.614000000001</v>
      </c>
      <c r="AB125" s="6">
        <v>46851.487999999998</v>
      </c>
      <c r="AC125" s="6">
        <v>41517.894999999997</v>
      </c>
    </row>
    <row r="126" spans="1:29" x14ac:dyDescent="0.25">
      <c r="A126" s="2">
        <v>59</v>
      </c>
      <c r="B126" s="2" t="s">
        <v>135</v>
      </c>
      <c r="C126" s="2" t="s">
        <v>136</v>
      </c>
      <c r="D126" s="2" t="str">
        <f>VLOOKUP(C126,[2]world_pop.!$C:$E,3,FALSE)</f>
        <v>Africa</v>
      </c>
      <c r="E126" s="2">
        <v>22593.59</v>
      </c>
      <c r="F126" s="2">
        <v>21904.983</v>
      </c>
      <c r="G126" s="2">
        <v>21224.04</v>
      </c>
      <c r="H126" s="2">
        <v>47439.802000000003</v>
      </c>
      <c r="I126" s="2">
        <v>28712.294000000002</v>
      </c>
      <c r="J126" s="2">
        <v>18112.906999999999</v>
      </c>
      <c r="K126" s="2">
        <v>15529.181</v>
      </c>
      <c r="L126" s="2">
        <v>11239.101000000001</v>
      </c>
      <c r="M126" s="2">
        <v>8945.0259999999998</v>
      </c>
      <c r="N126" s="2">
        <v>7372.5810000000001</v>
      </c>
      <c r="O126" s="10">
        <v>6153.5870000000004</v>
      </c>
      <c r="P126" s="2">
        <v>1240192</v>
      </c>
      <c r="Q126" s="12">
        <v>1220190</v>
      </c>
      <c r="R126" s="2">
        <v>18.516500000000001</v>
      </c>
      <c r="S126" s="2">
        <v>1.0314000000000001</v>
      </c>
      <c r="T126" s="4">
        <v>2.8E-3</v>
      </c>
      <c r="W126" t="s">
        <v>402</v>
      </c>
      <c r="X126" s="6">
        <v>188.57</v>
      </c>
      <c r="Y126" s="6">
        <v>148.72</v>
      </c>
      <c r="Z126" s="6">
        <v>131.232</v>
      </c>
      <c r="AA126" s="6">
        <v>128.874</v>
      </c>
      <c r="AB126" s="6">
        <v>116.70699999999999</v>
      </c>
      <c r="AC126" s="6">
        <v>107.995</v>
      </c>
    </row>
    <row r="127" spans="1:29" x14ac:dyDescent="0.25">
      <c r="A127" s="2">
        <v>173</v>
      </c>
      <c r="B127" s="2" t="s">
        <v>363</v>
      </c>
      <c r="C127" s="2" t="s">
        <v>364</v>
      </c>
      <c r="D127" s="2" t="str">
        <f>VLOOKUP(C127,[2]world_pop.!$C:$E,3,FALSE)</f>
        <v>Europe</v>
      </c>
      <c r="E127" s="2">
        <v>533.28599999999994</v>
      </c>
      <c r="F127" s="2">
        <v>526.74800000000005</v>
      </c>
      <c r="G127" s="2">
        <v>515.35799999999995</v>
      </c>
      <c r="H127" s="2">
        <v>522.73699999999997</v>
      </c>
      <c r="I127" s="2">
        <v>543.42499999999995</v>
      </c>
      <c r="J127" s="2">
        <v>456.57900000000001</v>
      </c>
      <c r="K127" s="2">
        <v>418.755</v>
      </c>
      <c r="L127" s="2">
        <v>399.21199999999999</v>
      </c>
      <c r="M127" s="2">
        <v>365.392</v>
      </c>
      <c r="N127" s="2">
        <v>333.58699999999999</v>
      </c>
      <c r="O127" s="10">
        <v>315.41399999999999</v>
      </c>
      <c r="P127" s="2">
        <v>316</v>
      </c>
      <c r="Q127" s="12">
        <v>320</v>
      </c>
      <c r="R127" s="2">
        <v>1666.5187000000001</v>
      </c>
      <c r="S127" s="2">
        <v>1.0124</v>
      </c>
      <c r="T127" s="4">
        <v>1E-4</v>
      </c>
      <c r="W127" t="s">
        <v>276</v>
      </c>
      <c r="X127" s="6">
        <v>5155.4139999999998</v>
      </c>
      <c r="Y127" s="6">
        <v>4564.57</v>
      </c>
      <c r="Z127" s="6">
        <v>4268.8729999999996</v>
      </c>
      <c r="AA127" s="6">
        <v>4250.1139999999996</v>
      </c>
      <c r="AB127" s="6">
        <v>3908.7429999999999</v>
      </c>
      <c r="AC127" s="6">
        <v>2943.3560000000002</v>
      </c>
    </row>
    <row r="128" spans="1:29" x14ac:dyDescent="0.25">
      <c r="A128" s="2">
        <v>215</v>
      </c>
      <c r="B128" s="2" t="s">
        <v>447</v>
      </c>
      <c r="C128" s="2" t="s">
        <v>448</v>
      </c>
      <c r="D128" s="2" t="str">
        <f>VLOOKUP(C128,[2]world_pop.!$C:$E,3,FALSE)</f>
        <v>Oceania</v>
      </c>
      <c r="E128" s="2">
        <v>41.569000000000003</v>
      </c>
      <c r="F128" s="2">
        <v>42.05</v>
      </c>
      <c r="G128" s="2">
        <v>43.412999999999997</v>
      </c>
      <c r="H128" s="2">
        <v>51.210999999999999</v>
      </c>
      <c r="I128" s="2">
        <v>44.732999999999997</v>
      </c>
      <c r="J128" s="2">
        <v>49.41</v>
      </c>
      <c r="K128" s="2">
        <v>53.415999999999997</v>
      </c>
      <c r="L128" s="2">
        <v>54.223999999999997</v>
      </c>
      <c r="M128" s="2">
        <v>46.046999999999997</v>
      </c>
      <c r="N128" s="2">
        <v>31.988</v>
      </c>
      <c r="O128" s="10">
        <v>23.969000000000001</v>
      </c>
      <c r="P128" s="2">
        <v>181</v>
      </c>
      <c r="Q128" s="12">
        <v>180</v>
      </c>
      <c r="R128" s="2">
        <v>230.93889999999999</v>
      </c>
      <c r="S128" s="2">
        <v>0.98860000000000003</v>
      </c>
      <c r="T128" s="4">
        <v>0</v>
      </c>
      <c r="W128" t="s">
        <v>238</v>
      </c>
      <c r="X128" s="6">
        <v>9426.8580000000002</v>
      </c>
      <c r="Y128" s="6">
        <v>7435.3779999999997</v>
      </c>
      <c r="Z128" s="6">
        <v>6630.6229999999996</v>
      </c>
      <c r="AA128" s="6">
        <v>6527.7430000000004</v>
      </c>
      <c r="AB128" s="6">
        <v>5914.98</v>
      </c>
      <c r="AC128" s="6">
        <v>5483.7740000000003</v>
      </c>
    </row>
    <row r="129" spans="1:29" x14ac:dyDescent="0.25">
      <c r="A129" s="2">
        <v>180</v>
      </c>
      <c r="B129" s="2" t="s">
        <v>377</v>
      </c>
      <c r="C129" s="2" t="s">
        <v>378</v>
      </c>
      <c r="D129" s="2" t="str">
        <f>VLOOKUP(C129,[2]world_pop.!$C:$E,3,FALSE)</f>
        <v>North America</v>
      </c>
      <c r="E129" s="2">
        <v>367.50700000000001</v>
      </c>
      <c r="F129" s="2">
        <v>368.79599999999999</v>
      </c>
      <c r="G129" s="2">
        <v>370.39100000000002</v>
      </c>
      <c r="H129" s="2">
        <v>330.12099999999998</v>
      </c>
      <c r="I129" s="2">
        <v>362.47199999999998</v>
      </c>
      <c r="J129" s="2">
        <v>383.51499999999999</v>
      </c>
      <c r="K129" s="2">
        <v>392.18099999999998</v>
      </c>
      <c r="L129" s="2">
        <v>432.54300000000001</v>
      </c>
      <c r="M129" s="2">
        <v>374.27100000000002</v>
      </c>
      <c r="N129" s="2">
        <v>333.786</v>
      </c>
      <c r="O129" s="10">
        <v>326.428</v>
      </c>
      <c r="P129" s="2">
        <v>1128</v>
      </c>
      <c r="Q129" s="12">
        <v>1128</v>
      </c>
      <c r="R129" s="2">
        <v>325.80410000000001</v>
      </c>
      <c r="S129" s="2">
        <v>0.99650000000000005</v>
      </c>
      <c r="T129" s="4">
        <v>0</v>
      </c>
      <c r="W129" t="s">
        <v>224</v>
      </c>
      <c r="X129" s="6">
        <v>9775.5519999999997</v>
      </c>
      <c r="Y129" s="6">
        <v>8321.2870000000003</v>
      </c>
      <c r="Z129" s="6">
        <v>7529.4750000000004</v>
      </c>
      <c r="AA129" s="6">
        <v>7425.0569999999998</v>
      </c>
      <c r="AB129" s="6">
        <v>6787.4189999999999</v>
      </c>
      <c r="AC129" s="6">
        <v>6323.4179999999997</v>
      </c>
    </row>
    <row r="130" spans="1:29" x14ac:dyDescent="0.25">
      <c r="A130" s="2">
        <v>126</v>
      </c>
      <c r="B130" s="2" t="s">
        <v>269</v>
      </c>
      <c r="C130" s="2" t="s">
        <v>270</v>
      </c>
      <c r="D130" s="2" t="str">
        <f>VLOOKUP(C130,[2]world_pop.!$C:$E,3,FALSE)</f>
        <v>Africa</v>
      </c>
      <c r="E130" s="2">
        <v>4736.1390000000001</v>
      </c>
      <c r="F130" s="2">
        <v>4614.9740000000002</v>
      </c>
      <c r="G130" s="2">
        <v>4498.6040000000003</v>
      </c>
      <c r="H130" s="2">
        <v>8914.6730000000007</v>
      </c>
      <c r="I130" s="2">
        <v>5830.5630000000001</v>
      </c>
      <c r="J130" s="2">
        <v>3946.22</v>
      </c>
      <c r="K130" s="2">
        <v>3419.4609999999998</v>
      </c>
      <c r="L130" s="2">
        <v>2695.0030000000002</v>
      </c>
      <c r="M130" s="2">
        <v>2006.027</v>
      </c>
      <c r="N130" s="2">
        <v>1506.694</v>
      </c>
      <c r="O130" s="10">
        <v>1122.1980000000001</v>
      </c>
      <c r="P130" s="2">
        <v>1030700</v>
      </c>
      <c r="Q130" s="12">
        <v>1030700</v>
      </c>
      <c r="R130" s="2">
        <v>4.5951000000000004</v>
      </c>
      <c r="S130" s="2">
        <v>1.0263</v>
      </c>
      <c r="T130" s="4">
        <v>5.9999999999999995E-4</v>
      </c>
      <c r="W130" t="s">
        <v>320</v>
      </c>
      <c r="X130" s="6">
        <v>1433.7280000000001</v>
      </c>
      <c r="Y130" s="6">
        <v>1701.338</v>
      </c>
      <c r="Z130" s="6">
        <v>1850.6510000000001</v>
      </c>
      <c r="AA130" s="6">
        <v>1873.9190000000001</v>
      </c>
      <c r="AB130" s="6">
        <v>1991.9549999999999</v>
      </c>
      <c r="AC130" s="6">
        <v>2101.5300000000002</v>
      </c>
    </row>
    <row r="131" spans="1:29" x14ac:dyDescent="0.25">
      <c r="A131" s="2">
        <v>157</v>
      </c>
      <c r="B131" s="2" t="s">
        <v>331</v>
      </c>
      <c r="C131" s="2" t="s">
        <v>332</v>
      </c>
      <c r="D131" s="2" t="str">
        <f>VLOOKUP(C131,[2]world_pop.!$C:$E,3,FALSE)</f>
        <v>Africa</v>
      </c>
      <c r="E131" s="2">
        <v>1299.4690000000001</v>
      </c>
      <c r="F131" s="2">
        <v>1298.915</v>
      </c>
      <c r="G131" s="2">
        <v>1297.828</v>
      </c>
      <c r="H131" s="2">
        <v>1226.2349999999999</v>
      </c>
      <c r="I131" s="2">
        <v>1305.425</v>
      </c>
      <c r="J131" s="2">
        <v>1293.153</v>
      </c>
      <c r="K131" s="2">
        <v>1283.33</v>
      </c>
      <c r="L131" s="2">
        <v>1215.93</v>
      </c>
      <c r="M131" s="2">
        <v>1090.29</v>
      </c>
      <c r="N131" s="2">
        <v>954.86500000000001</v>
      </c>
      <c r="O131" s="10">
        <v>830.11500000000001</v>
      </c>
      <c r="P131" s="2">
        <v>2040</v>
      </c>
      <c r="Q131" s="12">
        <v>2030</v>
      </c>
      <c r="R131" s="2">
        <v>640.13250000000005</v>
      </c>
      <c r="S131" s="2">
        <v>1.0004</v>
      </c>
      <c r="T131" s="4">
        <v>2.0000000000000001E-4</v>
      </c>
      <c r="W131" t="s">
        <v>256</v>
      </c>
      <c r="X131" s="6">
        <v>4937.5789999999997</v>
      </c>
      <c r="Y131" s="6">
        <v>4714.24</v>
      </c>
      <c r="Z131" s="6">
        <v>5489.7389999999996</v>
      </c>
      <c r="AA131" s="6">
        <v>5592.6310000000003</v>
      </c>
      <c r="AB131" s="6">
        <v>6398.94</v>
      </c>
      <c r="AC131" s="6">
        <v>4995.8</v>
      </c>
    </row>
    <row r="132" spans="1:29" x14ac:dyDescent="0.25">
      <c r="A132" s="2">
        <v>182</v>
      </c>
      <c r="B132" s="2" t="s">
        <v>381</v>
      </c>
      <c r="C132" s="2" t="s">
        <v>382</v>
      </c>
      <c r="D132" s="2" t="str">
        <f>VLOOKUP(C132,[2]world_pop.!$C:$E,3,FALSE)</f>
        <v>Africa</v>
      </c>
      <c r="E132" s="2">
        <v>326.101</v>
      </c>
      <c r="F132" s="2">
        <v>316.01400000000001</v>
      </c>
      <c r="G132" s="2">
        <v>305.58699999999999</v>
      </c>
      <c r="H132" s="2">
        <v>664.14099999999996</v>
      </c>
      <c r="I132" s="2">
        <v>407.57900000000001</v>
      </c>
      <c r="J132" s="2">
        <v>249.54499999999999</v>
      </c>
      <c r="K132" s="2">
        <v>211.786</v>
      </c>
      <c r="L132" s="2">
        <v>159.215</v>
      </c>
      <c r="M132" s="2">
        <v>92.659000000000006</v>
      </c>
      <c r="N132" s="2">
        <v>52.232999999999997</v>
      </c>
      <c r="O132" s="10">
        <v>35.383000000000003</v>
      </c>
      <c r="P132" s="2">
        <v>374</v>
      </c>
      <c r="Q132" s="12">
        <v>374</v>
      </c>
      <c r="R132" s="2">
        <v>871.92780000000005</v>
      </c>
      <c r="S132" s="2">
        <v>1.0319</v>
      </c>
      <c r="T132" s="4">
        <v>0</v>
      </c>
      <c r="W132" t="s">
        <v>312</v>
      </c>
      <c r="X132" s="6">
        <v>2898.3690000000001</v>
      </c>
      <c r="Y132" s="6">
        <v>2501.9459999999999</v>
      </c>
      <c r="Z132" s="6">
        <v>2305.8249999999998</v>
      </c>
      <c r="AA132" s="6">
        <v>2281.4540000000002</v>
      </c>
      <c r="AB132" s="6">
        <v>2118.5210000000002</v>
      </c>
      <c r="AC132" s="6">
        <v>2022.7470000000001</v>
      </c>
    </row>
    <row r="133" spans="1:29" x14ac:dyDescent="0.25">
      <c r="A133" s="2">
        <v>10</v>
      </c>
      <c r="B133" s="2" t="s">
        <v>37</v>
      </c>
      <c r="C133" s="2" t="s">
        <v>38</v>
      </c>
      <c r="D133" s="2" t="str">
        <f>VLOOKUP(C133,[2]world_pop.!$C:$E,3,FALSE)</f>
        <v>North America</v>
      </c>
      <c r="E133" s="2">
        <v>127504.125</v>
      </c>
      <c r="F133" s="2">
        <v>126705.13800000001</v>
      </c>
      <c r="G133" s="2">
        <v>125998.302</v>
      </c>
      <c r="H133" s="2">
        <v>143772.364</v>
      </c>
      <c r="I133" s="2">
        <v>134534.10699999999</v>
      </c>
      <c r="J133" s="2">
        <v>120149.897</v>
      </c>
      <c r="K133" s="2">
        <v>112532.401</v>
      </c>
      <c r="L133" s="2">
        <v>97873.441999999995</v>
      </c>
      <c r="M133" s="2">
        <v>81720.428</v>
      </c>
      <c r="N133" s="2">
        <v>67705.186000000002</v>
      </c>
      <c r="O133" s="10">
        <v>50289.305999999997</v>
      </c>
      <c r="P133" s="2">
        <v>1964375</v>
      </c>
      <c r="Q133" s="12">
        <v>1943950</v>
      </c>
      <c r="R133" s="2">
        <v>65.590199999999996</v>
      </c>
      <c r="S133" s="2">
        <v>1.0063</v>
      </c>
      <c r="T133" s="4">
        <v>1.6E-2</v>
      </c>
      <c r="W133" t="s">
        <v>260</v>
      </c>
      <c r="X133" s="6">
        <v>8890.7000000000007</v>
      </c>
      <c r="Y133" s="6">
        <v>6282.0739999999996</v>
      </c>
      <c r="Z133" s="6">
        <v>5302.6809999999996</v>
      </c>
      <c r="AA133" s="6">
        <v>5193.4160000000002</v>
      </c>
      <c r="AB133" s="6">
        <v>4612.3289999999997</v>
      </c>
      <c r="AC133" s="6">
        <v>4019.9560000000001</v>
      </c>
    </row>
    <row r="134" spans="1:29" x14ac:dyDescent="0.25">
      <c r="A134" s="2">
        <v>194</v>
      </c>
      <c r="B134" s="2" t="s">
        <v>405</v>
      </c>
      <c r="C134" s="2" t="s">
        <v>406</v>
      </c>
      <c r="D134" s="2" t="str">
        <f>VLOOKUP(C134,[2]world_pop.!$C:$E,3,FALSE)</f>
        <v>Oceania</v>
      </c>
      <c r="E134" s="2">
        <v>114.164</v>
      </c>
      <c r="F134" s="2">
        <v>113.131</v>
      </c>
      <c r="G134" s="2">
        <v>112.10599999999999</v>
      </c>
      <c r="H134" s="2">
        <v>135.45699999999999</v>
      </c>
      <c r="I134" s="2">
        <v>122.70399999999999</v>
      </c>
      <c r="J134" s="2">
        <v>109.462</v>
      </c>
      <c r="K134" s="2">
        <v>107.58799999999999</v>
      </c>
      <c r="L134" s="2">
        <v>111.709</v>
      </c>
      <c r="M134" s="2">
        <v>98.602999999999994</v>
      </c>
      <c r="N134" s="2">
        <v>76.299000000000007</v>
      </c>
      <c r="O134" s="10">
        <v>58.988999999999997</v>
      </c>
      <c r="P134" s="2">
        <v>702</v>
      </c>
      <c r="Q134" s="12">
        <v>700</v>
      </c>
      <c r="R134" s="2">
        <v>163.09139999999999</v>
      </c>
      <c r="S134" s="2">
        <v>1.0091000000000001</v>
      </c>
      <c r="T134" s="4">
        <v>0</v>
      </c>
      <c r="W134" t="s">
        <v>232</v>
      </c>
      <c r="X134" s="6">
        <v>8539.9760000000006</v>
      </c>
      <c r="Y134" s="6">
        <v>7394.8130000000001</v>
      </c>
      <c r="Z134" s="6">
        <v>6812.3410000000003</v>
      </c>
      <c r="AA134" s="6">
        <v>6735.277</v>
      </c>
      <c r="AB134" s="6">
        <v>6192.2349999999997</v>
      </c>
      <c r="AC134" s="6">
        <v>6491.9880000000003</v>
      </c>
    </row>
    <row r="135" spans="1:29" x14ac:dyDescent="0.25">
      <c r="A135" s="2">
        <v>135</v>
      </c>
      <c r="B135" s="2" t="s">
        <v>287</v>
      </c>
      <c r="C135" s="2" t="s">
        <v>288</v>
      </c>
      <c r="D135" s="2" t="str">
        <f>VLOOKUP(C135,[2]world_pop.!$C:$E,3,FALSE)</f>
        <v>Europe</v>
      </c>
      <c r="E135" s="2">
        <v>3272.9960000000001</v>
      </c>
      <c r="F135" s="2">
        <v>3061.5059999999999</v>
      </c>
      <c r="G135" s="2">
        <v>3084.8470000000002</v>
      </c>
      <c r="H135" s="2">
        <v>2997.5320000000002</v>
      </c>
      <c r="I135" s="2">
        <v>3174.7269999999999</v>
      </c>
      <c r="J135" s="2">
        <v>3277.3879999999999</v>
      </c>
      <c r="K135" s="2">
        <v>3678.1860000000001</v>
      </c>
      <c r="L135" s="2">
        <v>4251.5730000000003</v>
      </c>
      <c r="M135" s="2">
        <v>4480.1989999999996</v>
      </c>
      <c r="N135" s="2">
        <v>4103.24</v>
      </c>
      <c r="O135" s="10">
        <v>3711.14</v>
      </c>
      <c r="P135" s="2">
        <v>33846</v>
      </c>
      <c r="Q135" s="12">
        <v>32884.6</v>
      </c>
      <c r="R135" s="2">
        <v>99.529700000000005</v>
      </c>
      <c r="S135" s="2">
        <v>1.0690999999999999</v>
      </c>
      <c r="T135" s="4">
        <v>4.0000000000000002E-4</v>
      </c>
      <c r="W135" t="s">
        <v>450</v>
      </c>
      <c r="X135" s="6">
        <v>42.286999999999999</v>
      </c>
      <c r="Y135" s="6">
        <v>41.03</v>
      </c>
      <c r="Z135" s="6">
        <v>39.326999999999998</v>
      </c>
      <c r="AA135" s="6">
        <v>39.039000000000001</v>
      </c>
      <c r="AB135" s="6">
        <v>37.354999999999997</v>
      </c>
      <c r="AC135" s="6">
        <v>35.926000000000002</v>
      </c>
    </row>
    <row r="136" spans="1:29" x14ac:dyDescent="0.25">
      <c r="A136" s="2">
        <v>217</v>
      </c>
      <c r="B136" s="2" t="s">
        <v>451</v>
      </c>
      <c r="C136" s="2" t="s">
        <v>452</v>
      </c>
      <c r="D136" s="2" t="str">
        <f>VLOOKUP(C136,[2]world_pop.!$C:$E,3,FALSE)</f>
        <v>Europe</v>
      </c>
      <c r="E136" s="2">
        <v>36.469000000000001</v>
      </c>
      <c r="F136" s="2">
        <v>36.686</v>
      </c>
      <c r="G136" s="2">
        <v>36.921999999999997</v>
      </c>
      <c r="H136" s="2">
        <v>37.664000000000001</v>
      </c>
      <c r="I136" s="2">
        <v>35.862000000000002</v>
      </c>
      <c r="J136" s="2">
        <v>36.76</v>
      </c>
      <c r="K136" s="2">
        <v>33.177999999999997</v>
      </c>
      <c r="L136" s="2">
        <v>32.465000000000003</v>
      </c>
      <c r="M136" s="2">
        <v>30.329000000000001</v>
      </c>
      <c r="N136" s="2">
        <v>27.076000000000001</v>
      </c>
      <c r="O136" s="10">
        <v>24.27</v>
      </c>
      <c r="P136" s="2">
        <v>2</v>
      </c>
      <c r="Q136" s="12">
        <v>2</v>
      </c>
      <c r="R136" s="2">
        <v>18234.5</v>
      </c>
      <c r="S136" s="2">
        <v>0.99409999999999998</v>
      </c>
      <c r="T136" s="4">
        <v>0</v>
      </c>
      <c r="W136" t="s">
        <v>300</v>
      </c>
      <c r="X136" s="6">
        <v>2187.5500000000002</v>
      </c>
      <c r="Y136" s="6">
        <v>2558.9279999999999</v>
      </c>
      <c r="Z136" s="6">
        <v>2750.0549999999998</v>
      </c>
      <c r="AA136" s="6">
        <v>2786.6509999999998</v>
      </c>
      <c r="AB136" s="6">
        <v>2963.7649999999999</v>
      </c>
      <c r="AC136" s="6">
        <v>3139.0189999999998</v>
      </c>
    </row>
    <row r="137" spans="1:29" x14ac:dyDescent="0.25">
      <c r="A137" s="2">
        <v>134</v>
      </c>
      <c r="B137" s="2" t="s">
        <v>285</v>
      </c>
      <c r="C137" s="2" t="s">
        <v>286</v>
      </c>
      <c r="D137" s="2" t="str">
        <f>VLOOKUP(C137,[2]world_pop.!$C:$E,3,FALSE)</f>
        <v>Asia</v>
      </c>
      <c r="E137" s="2">
        <v>3398.366</v>
      </c>
      <c r="F137" s="2">
        <v>3347.7820000000002</v>
      </c>
      <c r="G137" s="2">
        <v>3294.335</v>
      </c>
      <c r="H137" s="2">
        <v>4518.8559999999998</v>
      </c>
      <c r="I137" s="2">
        <v>3736.3270000000002</v>
      </c>
      <c r="J137" s="2">
        <v>2964.7489999999998</v>
      </c>
      <c r="K137" s="2">
        <v>2702.52</v>
      </c>
      <c r="L137" s="2">
        <v>2450.9789999999998</v>
      </c>
      <c r="M137" s="2">
        <v>2161.433</v>
      </c>
      <c r="N137" s="2">
        <v>1697.78</v>
      </c>
      <c r="O137" s="10">
        <v>1293.8800000000001</v>
      </c>
      <c r="P137" s="2">
        <v>1564110</v>
      </c>
      <c r="Q137" s="12">
        <v>1557506.8</v>
      </c>
      <c r="R137" s="2">
        <v>2.1819000000000002</v>
      </c>
      <c r="S137" s="2">
        <v>1.0150999999999999</v>
      </c>
      <c r="T137" s="4">
        <v>4.0000000000000002E-4</v>
      </c>
      <c r="W137" t="s">
        <v>354</v>
      </c>
      <c r="X137" s="6">
        <v>781.91</v>
      </c>
      <c r="Y137" s="6">
        <v>697.08600000000001</v>
      </c>
      <c r="Z137" s="6">
        <v>647.59900000000005</v>
      </c>
      <c r="AA137" s="6">
        <v>639.32100000000003</v>
      </c>
      <c r="AB137" s="6">
        <v>569.40800000000002</v>
      </c>
      <c r="AC137" s="6">
        <v>507.07</v>
      </c>
    </row>
    <row r="138" spans="1:29" x14ac:dyDescent="0.25">
      <c r="A138" s="2">
        <v>169</v>
      </c>
      <c r="B138" s="2" t="s">
        <v>355</v>
      </c>
      <c r="C138" s="2" t="s">
        <v>356</v>
      </c>
      <c r="D138" s="2" t="str">
        <f>VLOOKUP(C138,[2]world_pop.!$C:$E,3,FALSE)</f>
        <v>Europe</v>
      </c>
      <c r="E138" s="2">
        <v>627.08199999999999</v>
      </c>
      <c r="F138" s="2">
        <v>627.85900000000004</v>
      </c>
      <c r="G138" s="2">
        <v>629.048</v>
      </c>
      <c r="H138" s="2">
        <v>586.38499999999999</v>
      </c>
      <c r="I138" s="2">
        <v>621.69600000000003</v>
      </c>
      <c r="J138" s="2">
        <v>633.96600000000001</v>
      </c>
      <c r="K138" s="2">
        <v>631.04399999999998</v>
      </c>
      <c r="L138" s="2">
        <v>633.32399999999996</v>
      </c>
      <c r="M138" s="2">
        <v>621.44200000000001</v>
      </c>
      <c r="N138" s="2">
        <v>589.32399999999996</v>
      </c>
      <c r="O138" s="10">
        <v>530.26800000000003</v>
      </c>
      <c r="P138" s="2">
        <v>13812</v>
      </c>
      <c r="Q138" s="12">
        <v>13450</v>
      </c>
      <c r="R138" s="2">
        <v>46.623199999999997</v>
      </c>
      <c r="S138" s="2">
        <v>0.99880000000000002</v>
      </c>
      <c r="T138" s="4">
        <v>1E-4</v>
      </c>
      <c r="W138" t="s">
        <v>352</v>
      </c>
      <c r="X138" s="6">
        <v>881.66600000000005</v>
      </c>
      <c r="Y138" s="6">
        <v>763.37099999999998</v>
      </c>
      <c r="Z138" s="6">
        <v>695.16800000000001</v>
      </c>
      <c r="AA138" s="6">
        <v>686.60699999999997</v>
      </c>
      <c r="AB138" s="6">
        <v>615.23900000000003</v>
      </c>
      <c r="AC138" s="6">
        <v>557.29700000000003</v>
      </c>
    </row>
    <row r="139" spans="1:29" x14ac:dyDescent="0.25">
      <c r="A139" s="2">
        <v>230</v>
      </c>
      <c r="B139" s="2" t="s">
        <v>477</v>
      </c>
      <c r="C139" s="2" t="s">
        <v>478</v>
      </c>
      <c r="D139" s="2" t="str">
        <f>VLOOKUP(C139,[2]world_pop.!$C:$E,3,FALSE)</f>
        <v>North America</v>
      </c>
      <c r="E139" s="2">
        <v>4.3899999999999997</v>
      </c>
      <c r="F139" s="2">
        <v>4.4169999999999998</v>
      </c>
      <c r="G139" s="2">
        <v>4.5</v>
      </c>
      <c r="H139" s="2">
        <v>3.7810000000000001</v>
      </c>
      <c r="I139" s="2">
        <v>4.3010000000000002</v>
      </c>
      <c r="J139" s="2">
        <v>5.0590000000000002</v>
      </c>
      <c r="K139" s="2">
        <v>4.9379999999999997</v>
      </c>
      <c r="L139" s="2">
        <v>5.1379999999999999</v>
      </c>
      <c r="M139" s="2">
        <v>10.805</v>
      </c>
      <c r="N139" s="2">
        <v>11.452</v>
      </c>
      <c r="O139" s="10">
        <v>11.401999999999999</v>
      </c>
      <c r="P139" s="2">
        <v>102</v>
      </c>
      <c r="Q139" s="12">
        <v>102</v>
      </c>
      <c r="R139" s="2">
        <v>43.039200000000001</v>
      </c>
      <c r="S139" s="2">
        <v>0.99390000000000001</v>
      </c>
      <c r="T139" s="4">
        <v>0</v>
      </c>
      <c r="W139" t="s">
        <v>118</v>
      </c>
      <c r="X139" s="6">
        <v>51592.964999999997</v>
      </c>
      <c r="Y139" s="6">
        <v>35604.442999999999</v>
      </c>
      <c r="Z139" s="6">
        <v>29611.714</v>
      </c>
      <c r="AA139" s="6">
        <v>28915.652999999998</v>
      </c>
      <c r="AB139" s="6">
        <v>24850.912</v>
      </c>
      <c r="AC139" s="6">
        <v>21731.053</v>
      </c>
    </row>
    <row r="140" spans="1:29" x14ac:dyDescent="0.25">
      <c r="A140" s="2">
        <v>40</v>
      </c>
      <c r="B140" s="2" t="s">
        <v>97</v>
      </c>
      <c r="C140" s="2" t="s">
        <v>98</v>
      </c>
      <c r="D140" s="2" t="str">
        <f>VLOOKUP(C140,[2]world_pop.!$C:$E,3,FALSE)</f>
        <v>Africa</v>
      </c>
      <c r="E140" s="2">
        <v>37457.970999999998</v>
      </c>
      <c r="F140" s="2">
        <v>37076.584000000003</v>
      </c>
      <c r="G140" s="2">
        <v>36688.771999999997</v>
      </c>
      <c r="H140" s="2">
        <v>45044.99</v>
      </c>
      <c r="I140" s="2">
        <v>40226.394999999997</v>
      </c>
      <c r="J140" s="2">
        <v>34680.457999999999</v>
      </c>
      <c r="K140" s="2">
        <v>32464.865000000002</v>
      </c>
      <c r="L140" s="2">
        <v>28554.415000000001</v>
      </c>
      <c r="M140" s="2">
        <v>24570.813999999998</v>
      </c>
      <c r="N140" s="2">
        <v>19678.444</v>
      </c>
      <c r="O140" s="10">
        <v>15274.351000000001</v>
      </c>
      <c r="P140" s="2">
        <v>446550</v>
      </c>
      <c r="Q140" s="12">
        <v>446300</v>
      </c>
      <c r="R140" s="2">
        <v>83.93</v>
      </c>
      <c r="S140" s="2">
        <v>1.0103</v>
      </c>
      <c r="T140" s="4">
        <v>4.7000000000000002E-3</v>
      </c>
      <c r="W140" t="s">
        <v>142</v>
      </c>
      <c r="X140" s="6">
        <v>37159.300000000003</v>
      </c>
      <c r="Y140" s="6">
        <v>24944.242999999999</v>
      </c>
      <c r="Z140" s="6">
        <v>20405.316999999999</v>
      </c>
      <c r="AA140" s="6">
        <v>19889.741999999998</v>
      </c>
      <c r="AB140" s="6">
        <v>16938.941999999999</v>
      </c>
      <c r="AC140" s="6">
        <v>14718.422</v>
      </c>
    </row>
    <row r="141" spans="1:29" x14ac:dyDescent="0.25">
      <c r="A141" s="2">
        <v>48</v>
      </c>
      <c r="B141" s="2" t="s">
        <v>113</v>
      </c>
      <c r="C141" s="2" t="s">
        <v>114</v>
      </c>
      <c r="D141" s="2" t="str">
        <f>VLOOKUP(C141,[2]world_pop.!$C:$E,3,FALSE)</f>
        <v>Africa</v>
      </c>
      <c r="E141" s="2">
        <v>32969.517999999996</v>
      </c>
      <c r="F141" s="2">
        <v>32077.072</v>
      </c>
      <c r="G141" s="2">
        <v>31178.239000000001</v>
      </c>
      <c r="H141" s="2">
        <v>63044.497000000003</v>
      </c>
      <c r="I141" s="2">
        <v>40920.707000000002</v>
      </c>
      <c r="J141" s="2">
        <v>26843.245999999999</v>
      </c>
      <c r="K141" s="2">
        <v>23073.723000000002</v>
      </c>
      <c r="L141" s="2">
        <v>17768.505000000001</v>
      </c>
      <c r="M141" s="2">
        <v>13303.459000000001</v>
      </c>
      <c r="N141" s="2">
        <v>11413.587</v>
      </c>
      <c r="O141" s="10">
        <v>8411.6759999999995</v>
      </c>
      <c r="P141" s="2">
        <v>801590</v>
      </c>
      <c r="Q141" s="12">
        <v>786380</v>
      </c>
      <c r="R141" s="2">
        <v>41.925699999999999</v>
      </c>
      <c r="S141" s="2">
        <v>1.0278</v>
      </c>
      <c r="T141" s="4">
        <v>4.1000000000000003E-3</v>
      </c>
      <c r="W141" t="s">
        <v>108</v>
      </c>
      <c r="X141" s="6">
        <v>41032.432999999997</v>
      </c>
      <c r="Y141" s="6">
        <v>36687.569000000003</v>
      </c>
      <c r="Z141" s="6">
        <v>33938.220999999998</v>
      </c>
      <c r="AA141" s="6">
        <v>33573.874000000003</v>
      </c>
      <c r="AB141" s="6">
        <v>31068.832999999999</v>
      </c>
      <c r="AC141" s="6">
        <v>28717.731</v>
      </c>
    </row>
    <row r="142" spans="1:29" x14ac:dyDescent="0.25">
      <c r="A142" s="2">
        <v>26</v>
      </c>
      <c r="B142" s="2" t="s">
        <v>69</v>
      </c>
      <c r="C142" s="2" t="s">
        <v>70</v>
      </c>
      <c r="D142" s="2" t="str">
        <f>VLOOKUP(C142,[2]world_pop.!$C:$E,3,FALSE)</f>
        <v>Asia</v>
      </c>
      <c r="E142" s="2">
        <v>54179.305999999997</v>
      </c>
      <c r="F142" s="2">
        <v>53798.084000000003</v>
      </c>
      <c r="G142" s="2">
        <v>53423.197999999997</v>
      </c>
      <c r="H142" s="2">
        <v>59929.398999999998</v>
      </c>
      <c r="I142" s="2">
        <v>56987.625</v>
      </c>
      <c r="J142" s="2">
        <v>51483.949000000001</v>
      </c>
      <c r="K142" s="2">
        <v>49390.987999999998</v>
      </c>
      <c r="L142" s="2">
        <v>45538.332000000002</v>
      </c>
      <c r="M142" s="2">
        <v>40099.553</v>
      </c>
      <c r="N142" s="2">
        <v>33465.781000000003</v>
      </c>
      <c r="O142" s="10">
        <v>27284.112000000001</v>
      </c>
      <c r="P142" s="2">
        <v>676578</v>
      </c>
      <c r="Q142" s="12">
        <v>652670</v>
      </c>
      <c r="R142" s="2">
        <v>83.011799999999994</v>
      </c>
      <c r="S142" s="2">
        <v>1.0071000000000001</v>
      </c>
      <c r="T142" s="4">
        <v>6.7999999999999996E-3</v>
      </c>
      <c r="W142" t="s">
        <v>366</v>
      </c>
      <c r="X142" s="6">
        <v>569.90899999999999</v>
      </c>
      <c r="Y142" s="6">
        <v>512.68299999999999</v>
      </c>
      <c r="Z142" s="6">
        <v>523.78700000000003</v>
      </c>
      <c r="AA142" s="6">
        <v>521.45699999999999</v>
      </c>
      <c r="AB142" s="6">
        <v>435.58199999999999</v>
      </c>
      <c r="AC142" s="6">
        <v>361.57499999999999</v>
      </c>
    </row>
    <row r="143" spans="1:29" x14ac:dyDescent="0.25">
      <c r="A143" s="2">
        <v>145</v>
      </c>
      <c r="B143" s="2" t="s">
        <v>307</v>
      </c>
      <c r="C143" s="2" t="s">
        <v>308</v>
      </c>
      <c r="D143" s="2" t="str">
        <f>VLOOKUP(C143,[2]world_pop.!$C:$E,3,FALSE)</f>
        <v>Africa</v>
      </c>
      <c r="E143" s="2">
        <v>2567.0120000000002</v>
      </c>
      <c r="F143" s="2">
        <v>2530.1509999999998</v>
      </c>
      <c r="G143" s="2">
        <v>2489.098</v>
      </c>
      <c r="H143" s="2">
        <v>3779.9180000000001</v>
      </c>
      <c r="I143" s="2">
        <v>2910.056</v>
      </c>
      <c r="J143" s="2">
        <v>2282.7040000000002</v>
      </c>
      <c r="K143" s="2">
        <v>2099.2710000000002</v>
      </c>
      <c r="L143" s="2">
        <v>1819.1410000000001</v>
      </c>
      <c r="M143" s="2">
        <v>1369.011</v>
      </c>
      <c r="N143" s="2">
        <v>975.99400000000003</v>
      </c>
      <c r="O143" s="10">
        <v>754.46699999999998</v>
      </c>
      <c r="P143" s="2">
        <v>825615</v>
      </c>
      <c r="Q143" s="12">
        <v>823290</v>
      </c>
      <c r="R143" s="2">
        <v>3.1179999999999999</v>
      </c>
      <c r="S143" s="2">
        <v>1.0145999999999999</v>
      </c>
      <c r="T143" s="4">
        <v>2.9999999999999997E-4</v>
      </c>
      <c r="W143" t="s">
        <v>136</v>
      </c>
      <c r="X143" s="6">
        <v>47439.802000000003</v>
      </c>
      <c r="Y143" s="6">
        <v>28712.294000000002</v>
      </c>
      <c r="Z143" s="6">
        <v>22593.59</v>
      </c>
      <c r="AA143" s="6">
        <v>21904.983</v>
      </c>
      <c r="AB143" s="6">
        <v>18112.906999999999</v>
      </c>
      <c r="AC143" s="6">
        <v>15529.181</v>
      </c>
    </row>
    <row r="144" spans="1:29" x14ac:dyDescent="0.25">
      <c r="A144" s="2">
        <v>225</v>
      </c>
      <c r="B144" s="2" t="s">
        <v>467</v>
      </c>
      <c r="C144" s="2" t="s">
        <v>468</v>
      </c>
      <c r="D144" s="2" t="str">
        <f>VLOOKUP(C144,[2]world_pop.!$C:$E,3,FALSE)</f>
        <v>Oceania</v>
      </c>
      <c r="E144" s="2">
        <v>12.667999999999999</v>
      </c>
      <c r="F144" s="2">
        <v>12.510999999999999</v>
      </c>
      <c r="G144" s="2">
        <v>12.315</v>
      </c>
      <c r="H144" s="2">
        <v>14.695</v>
      </c>
      <c r="I144" s="2">
        <v>13.358000000000001</v>
      </c>
      <c r="J144" s="2">
        <v>11.185</v>
      </c>
      <c r="K144" s="2">
        <v>10.241</v>
      </c>
      <c r="L144" s="2">
        <v>10.377000000000001</v>
      </c>
      <c r="M144" s="2">
        <v>9.5980000000000008</v>
      </c>
      <c r="N144" s="2">
        <v>7.6349999999999998</v>
      </c>
      <c r="O144" s="10">
        <v>6.6630000000000003</v>
      </c>
      <c r="P144" s="2">
        <v>21</v>
      </c>
      <c r="Q144" s="12">
        <v>20</v>
      </c>
      <c r="R144" s="2">
        <v>633.4</v>
      </c>
      <c r="S144" s="2">
        <v>1.0125</v>
      </c>
      <c r="T144" s="4">
        <v>0</v>
      </c>
      <c r="W144" t="s">
        <v>364</v>
      </c>
      <c r="X144" s="6">
        <v>522.73699999999997</v>
      </c>
      <c r="Y144" s="6">
        <v>543.42499999999995</v>
      </c>
      <c r="Z144" s="6">
        <v>533.28599999999994</v>
      </c>
      <c r="AA144" s="6">
        <v>526.74800000000005</v>
      </c>
      <c r="AB144" s="6">
        <v>456.57900000000001</v>
      </c>
      <c r="AC144" s="6">
        <v>418.755</v>
      </c>
    </row>
    <row r="145" spans="1:29" x14ac:dyDescent="0.25">
      <c r="A145" s="2">
        <v>49</v>
      </c>
      <c r="B145" s="2" t="s">
        <v>115</v>
      </c>
      <c r="C145" s="2" t="s">
        <v>116</v>
      </c>
      <c r="D145" s="2" t="str">
        <f>VLOOKUP(C145,[2]world_pop.!$C:$E,3,FALSE)</f>
        <v>Asia</v>
      </c>
      <c r="E145" s="2">
        <v>30547.58</v>
      </c>
      <c r="F145" s="2">
        <v>30034.989000000001</v>
      </c>
      <c r="G145" s="2">
        <v>29348.627</v>
      </c>
      <c r="H145" s="2">
        <v>37401.364999999998</v>
      </c>
      <c r="I145" s="2">
        <v>33133.394999999997</v>
      </c>
      <c r="J145" s="2">
        <v>27610.325000000001</v>
      </c>
      <c r="K145" s="2">
        <v>27161.566999999999</v>
      </c>
      <c r="L145" s="2">
        <v>24559.5</v>
      </c>
      <c r="M145" s="2">
        <v>19616.53</v>
      </c>
      <c r="N145" s="2">
        <v>15600.441999999999</v>
      </c>
      <c r="O145" s="10">
        <v>12501.285</v>
      </c>
      <c r="P145" s="2">
        <v>147181</v>
      </c>
      <c r="Q145" s="12">
        <v>143350</v>
      </c>
      <c r="R145" s="2">
        <v>213.09790000000001</v>
      </c>
      <c r="S145" s="2">
        <v>1.0170999999999999</v>
      </c>
      <c r="T145" s="4">
        <v>3.8E-3</v>
      </c>
      <c r="W145" t="s">
        <v>448</v>
      </c>
      <c r="X145" s="6">
        <v>51.210999999999999</v>
      </c>
      <c r="Y145" s="6">
        <v>44.732999999999997</v>
      </c>
      <c r="Z145" s="6">
        <v>41.569000000000003</v>
      </c>
      <c r="AA145" s="6">
        <v>42.05</v>
      </c>
      <c r="AB145" s="6">
        <v>49.41</v>
      </c>
      <c r="AC145" s="6">
        <v>53.415999999999997</v>
      </c>
    </row>
    <row r="146" spans="1:29" x14ac:dyDescent="0.25">
      <c r="A146" s="2">
        <v>71</v>
      </c>
      <c r="B146" s="2" t="s">
        <v>159</v>
      </c>
      <c r="C146" s="2" t="s">
        <v>160</v>
      </c>
      <c r="D146" s="2" t="str">
        <f>VLOOKUP(C146,[2]world_pop.!$C:$E,3,FALSE)</f>
        <v>Europe</v>
      </c>
      <c r="E146" s="2">
        <v>17564.013999999999</v>
      </c>
      <c r="F146" s="2">
        <v>17501.696</v>
      </c>
      <c r="G146" s="2">
        <v>17434.557000000001</v>
      </c>
      <c r="H146" s="2">
        <v>17897.025000000001</v>
      </c>
      <c r="I146" s="2">
        <v>17943.803</v>
      </c>
      <c r="J146" s="2">
        <v>17041.107</v>
      </c>
      <c r="K146" s="2">
        <v>16617.116999999998</v>
      </c>
      <c r="L146" s="2">
        <v>15899.135</v>
      </c>
      <c r="M146" s="2">
        <v>14944.548000000001</v>
      </c>
      <c r="N146" s="2">
        <v>14130.387000000001</v>
      </c>
      <c r="O146" s="10">
        <v>13037.686</v>
      </c>
      <c r="P146" s="2">
        <v>41850</v>
      </c>
      <c r="Q146" s="12">
        <v>33670</v>
      </c>
      <c r="R146" s="2">
        <v>521.65170000000001</v>
      </c>
      <c r="S146" s="2">
        <v>1.0036</v>
      </c>
      <c r="T146" s="4">
        <v>2.2000000000000001E-3</v>
      </c>
      <c r="W146" t="s">
        <v>378</v>
      </c>
      <c r="X146" s="6">
        <v>330.12099999999998</v>
      </c>
      <c r="Y146" s="6">
        <v>362.47199999999998</v>
      </c>
      <c r="Z146" s="6">
        <v>367.50700000000001</v>
      </c>
      <c r="AA146" s="6">
        <v>368.79599999999999</v>
      </c>
      <c r="AB146" s="6">
        <v>383.51499999999999</v>
      </c>
      <c r="AC146" s="6">
        <v>392.18099999999998</v>
      </c>
    </row>
    <row r="147" spans="1:29" x14ac:dyDescent="0.25">
      <c r="A147" s="2">
        <v>185</v>
      </c>
      <c r="B147" s="2" t="s">
        <v>387</v>
      </c>
      <c r="C147" s="2" t="s">
        <v>388</v>
      </c>
      <c r="D147" s="2" t="str">
        <f>VLOOKUP(C147,[2]world_pop.!$C:$E,3,FALSE)</f>
        <v>Oceania</v>
      </c>
      <c r="E147" s="2">
        <v>289.95</v>
      </c>
      <c r="F147" s="2">
        <v>287.8</v>
      </c>
      <c r="G147" s="2">
        <v>286.40300000000002</v>
      </c>
      <c r="H147" s="2">
        <v>353.19099999999997</v>
      </c>
      <c r="I147" s="2">
        <v>312.529</v>
      </c>
      <c r="J147" s="2">
        <v>283.03199999999998</v>
      </c>
      <c r="K147" s="2">
        <v>261.42599999999999</v>
      </c>
      <c r="L147" s="2">
        <v>221.53700000000001</v>
      </c>
      <c r="M147" s="2">
        <v>177.26400000000001</v>
      </c>
      <c r="N147" s="2">
        <v>148.59899999999999</v>
      </c>
      <c r="O147" s="10">
        <v>110.982</v>
      </c>
      <c r="P147" s="2">
        <v>18575</v>
      </c>
      <c r="Q147" s="12">
        <v>18280</v>
      </c>
      <c r="R147" s="2">
        <v>15.861599999999999</v>
      </c>
      <c r="S147" s="2">
        <v>1.0075000000000001</v>
      </c>
      <c r="T147" s="4">
        <v>0</v>
      </c>
      <c r="W147" t="s">
        <v>270</v>
      </c>
      <c r="X147" s="6">
        <v>8914.6730000000007</v>
      </c>
      <c r="Y147" s="6">
        <v>5830.5630000000001</v>
      </c>
      <c r="Z147" s="6">
        <v>4736.1390000000001</v>
      </c>
      <c r="AA147" s="6">
        <v>4614.9740000000002</v>
      </c>
      <c r="AB147" s="6">
        <v>3946.22</v>
      </c>
      <c r="AC147" s="6">
        <v>3419.4609999999998</v>
      </c>
    </row>
    <row r="148" spans="1:29" x14ac:dyDescent="0.25">
      <c r="A148" s="2">
        <v>123</v>
      </c>
      <c r="B148" s="2" t="s">
        <v>263</v>
      </c>
      <c r="C148" s="2" t="s">
        <v>264</v>
      </c>
      <c r="D148" s="2" t="str">
        <f>VLOOKUP(C148,[2]world_pop.!$C:$E,3,FALSE)</f>
        <v>Oceania</v>
      </c>
      <c r="E148" s="2">
        <v>5185.2879999999996</v>
      </c>
      <c r="F148" s="2">
        <v>5129.7269999999999</v>
      </c>
      <c r="G148" s="2">
        <v>5061.1329999999998</v>
      </c>
      <c r="H148" s="2">
        <v>5949.0020000000004</v>
      </c>
      <c r="I148" s="2">
        <v>5495.67</v>
      </c>
      <c r="J148" s="2">
        <v>4590.59</v>
      </c>
      <c r="K148" s="2">
        <v>4346.3379999999997</v>
      </c>
      <c r="L148" s="2">
        <v>3855.2660000000001</v>
      </c>
      <c r="M148" s="2">
        <v>3397.3890000000001</v>
      </c>
      <c r="N148" s="2">
        <v>3147.1680000000001</v>
      </c>
      <c r="O148" s="10">
        <v>2824.0610000000001</v>
      </c>
      <c r="P148" s="2">
        <v>270467</v>
      </c>
      <c r="Q148" s="12">
        <v>263310</v>
      </c>
      <c r="R148" s="2">
        <v>19.692699999999999</v>
      </c>
      <c r="S148" s="2">
        <v>1.0107999999999999</v>
      </c>
      <c r="T148" s="4">
        <v>6.9999999999999999E-4</v>
      </c>
      <c r="W148" t="s">
        <v>332</v>
      </c>
      <c r="X148" s="6">
        <v>1226.2349999999999</v>
      </c>
      <c r="Y148" s="6">
        <v>1305.425</v>
      </c>
      <c r="Z148" s="6">
        <v>1299.4690000000001</v>
      </c>
      <c r="AA148" s="6">
        <v>1298.915</v>
      </c>
      <c r="AB148" s="6">
        <v>1293.153</v>
      </c>
      <c r="AC148" s="6">
        <v>1283.33</v>
      </c>
    </row>
    <row r="149" spans="1:29" x14ac:dyDescent="0.25">
      <c r="A149" s="2">
        <v>106</v>
      </c>
      <c r="B149" s="2" t="s">
        <v>229</v>
      </c>
      <c r="C149" s="2" t="s">
        <v>230</v>
      </c>
      <c r="D149" s="2" t="str">
        <f>VLOOKUP(C149,[2]world_pop.!$C:$E,3,FALSE)</f>
        <v>North America</v>
      </c>
      <c r="E149" s="2">
        <v>6948.3919999999998</v>
      </c>
      <c r="F149" s="2">
        <v>6850.54</v>
      </c>
      <c r="G149" s="2">
        <v>6755.8950000000004</v>
      </c>
      <c r="H149" s="2">
        <v>9094.6409999999996</v>
      </c>
      <c r="I149" s="2">
        <v>7688.6859999999997</v>
      </c>
      <c r="J149" s="2">
        <v>6298.598</v>
      </c>
      <c r="K149" s="2">
        <v>5855.7340000000004</v>
      </c>
      <c r="L149" s="2">
        <v>5123.2219999999998</v>
      </c>
      <c r="M149" s="2">
        <v>4227.82</v>
      </c>
      <c r="N149" s="2">
        <v>3303.3090000000002</v>
      </c>
      <c r="O149" s="10">
        <v>2444.7669999999998</v>
      </c>
      <c r="P149" s="2">
        <v>130373</v>
      </c>
      <c r="Q149" s="12">
        <v>120340</v>
      </c>
      <c r="R149" s="2">
        <v>57.739699999999999</v>
      </c>
      <c r="S149" s="2">
        <v>1.0143</v>
      </c>
      <c r="T149" s="4">
        <v>8.9999999999999998E-4</v>
      </c>
      <c r="W149" t="s">
        <v>382</v>
      </c>
      <c r="X149" s="6">
        <v>664.14099999999996</v>
      </c>
      <c r="Y149" s="6">
        <v>407.57900000000001</v>
      </c>
      <c r="Z149" s="6">
        <v>326.101</v>
      </c>
      <c r="AA149" s="6">
        <v>316.01400000000001</v>
      </c>
      <c r="AB149" s="6">
        <v>249.54499999999999</v>
      </c>
      <c r="AC149" s="6">
        <v>211.786</v>
      </c>
    </row>
    <row r="150" spans="1:29" x14ac:dyDescent="0.25">
      <c r="A150" s="2">
        <v>54</v>
      </c>
      <c r="B150" s="2" t="s">
        <v>125</v>
      </c>
      <c r="C150" s="2" t="s">
        <v>126</v>
      </c>
      <c r="D150" s="2" t="str">
        <f>VLOOKUP(C150,[2]world_pop.!$C:$E,3,FALSE)</f>
        <v>Africa</v>
      </c>
      <c r="E150" s="2">
        <v>26207.976999999999</v>
      </c>
      <c r="F150" s="2">
        <v>25252.722000000002</v>
      </c>
      <c r="G150" s="2">
        <v>24333.638999999999</v>
      </c>
      <c r="H150" s="2">
        <v>67043.296000000002</v>
      </c>
      <c r="I150" s="2">
        <v>35217.942000000003</v>
      </c>
      <c r="J150" s="2">
        <v>20128.124</v>
      </c>
      <c r="K150" s="2">
        <v>16647.543000000001</v>
      </c>
      <c r="L150" s="2">
        <v>11622.665000000001</v>
      </c>
      <c r="M150" s="2">
        <v>8370.6479999999992</v>
      </c>
      <c r="N150" s="2">
        <v>6173.1769999999997</v>
      </c>
      <c r="O150" s="10">
        <v>4669.7079999999996</v>
      </c>
      <c r="P150" s="2">
        <v>1267000</v>
      </c>
      <c r="Q150" s="12">
        <v>1266700</v>
      </c>
      <c r="R150" s="2">
        <v>20.69</v>
      </c>
      <c r="S150" s="2">
        <v>1.0378000000000001</v>
      </c>
      <c r="T150" s="4">
        <v>3.3E-3</v>
      </c>
      <c r="W150" t="s">
        <v>38</v>
      </c>
      <c r="X150" s="6">
        <v>143772.364</v>
      </c>
      <c r="Y150" s="6">
        <v>134534.10699999999</v>
      </c>
      <c r="Z150" s="6">
        <v>127504.125</v>
      </c>
      <c r="AA150" s="6">
        <v>126705.13800000001</v>
      </c>
      <c r="AB150" s="6">
        <v>120149.897</v>
      </c>
      <c r="AC150" s="6">
        <v>112532.401</v>
      </c>
    </row>
    <row r="151" spans="1:29" x14ac:dyDescent="0.25">
      <c r="A151" s="2">
        <v>6</v>
      </c>
      <c r="B151" s="2" t="s">
        <v>29</v>
      </c>
      <c r="C151" s="2" t="s">
        <v>30</v>
      </c>
      <c r="D151" s="2" t="str">
        <f>VLOOKUP(C151,[2]world_pop.!$C:$E,3,FALSE)</f>
        <v>Africa</v>
      </c>
      <c r="E151" s="2">
        <v>218541.212</v>
      </c>
      <c r="F151" s="2">
        <v>213401.323</v>
      </c>
      <c r="G151" s="2">
        <v>208327.405</v>
      </c>
      <c r="H151" s="2">
        <v>377459.88299999997</v>
      </c>
      <c r="I151" s="2">
        <v>262580.42599999998</v>
      </c>
      <c r="J151" s="2">
        <v>183995.785</v>
      </c>
      <c r="K151" s="2">
        <v>160952.853</v>
      </c>
      <c r="L151" s="2">
        <v>122851.984</v>
      </c>
      <c r="M151" s="2">
        <v>95214.256999999998</v>
      </c>
      <c r="N151" s="2">
        <v>72951.438999999998</v>
      </c>
      <c r="O151" s="10">
        <v>55569.264000000003</v>
      </c>
      <c r="P151" s="2">
        <v>923768</v>
      </c>
      <c r="Q151" s="12">
        <v>910770</v>
      </c>
      <c r="R151" s="2">
        <v>239.9521</v>
      </c>
      <c r="S151" s="2">
        <v>1.0241</v>
      </c>
      <c r="T151" s="4">
        <v>2.7400000000000001E-2</v>
      </c>
      <c r="W151" t="s">
        <v>406</v>
      </c>
      <c r="X151" s="6">
        <v>135.45699999999999</v>
      </c>
      <c r="Y151" s="6">
        <v>122.70399999999999</v>
      </c>
      <c r="Z151" s="6">
        <v>114.164</v>
      </c>
      <c r="AA151" s="6">
        <v>113.131</v>
      </c>
      <c r="AB151" s="6">
        <v>109.462</v>
      </c>
      <c r="AC151" s="6">
        <v>107.58799999999999</v>
      </c>
    </row>
    <row r="152" spans="1:29" x14ac:dyDescent="0.25">
      <c r="A152" s="2">
        <v>232</v>
      </c>
      <c r="B152" s="2" t="s">
        <v>481</v>
      </c>
      <c r="C152" s="2" t="s">
        <v>482</v>
      </c>
      <c r="D152" s="2" t="str">
        <f>VLOOKUP(C152,[2]world_pop.!$C:$E,3,FALSE)</f>
        <v>Oceania</v>
      </c>
      <c r="E152" s="2">
        <v>1.9339999999999999</v>
      </c>
      <c r="F152" s="2">
        <v>1.9370000000000001</v>
      </c>
      <c r="G152" s="2">
        <v>1.9419999999999999</v>
      </c>
      <c r="H152" s="2">
        <v>2.0960000000000001</v>
      </c>
      <c r="I152" s="2">
        <v>1.948</v>
      </c>
      <c r="J152" s="2">
        <v>1.847</v>
      </c>
      <c r="K152" s="2">
        <v>1.8120000000000001</v>
      </c>
      <c r="L152" s="2">
        <v>2.0739999999999998</v>
      </c>
      <c r="M152" s="2">
        <v>2.5329999999999999</v>
      </c>
      <c r="N152" s="2">
        <v>3.637</v>
      </c>
      <c r="O152" s="10">
        <v>5.1849999999999996</v>
      </c>
      <c r="P152" s="2">
        <v>260</v>
      </c>
      <c r="Q152" s="12">
        <v>261</v>
      </c>
      <c r="R152" s="2">
        <v>7.41</v>
      </c>
      <c r="S152" s="2">
        <v>0.99850000000000005</v>
      </c>
      <c r="T152" s="4">
        <v>0</v>
      </c>
      <c r="W152" t="s">
        <v>288</v>
      </c>
      <c r="X152" s="6">
        <v>2997.5320000000002</v>
      </c>
      <c r="Y152" s="6">
        <v>3174.7269999999999</v>
      </c>
      <c r="Z152" s="6">
        <v>3272.9960000000001</v>
      </c>
      <c r="AA152" s="6">
        <v>3061.5059999999999</v>
      </c>
      <c r="AB152" s="6">
        <v>3277.3879999999999</v>
      </c>
      <c r="AC152" s="6">
        <v>3678.1860000000001</v>
      </c>
    </row>
    <row r="153" spans="1:29" x14ac:dyDescent="0.25">
      <c r="A153" s="2">
        <v>56</v>
      </c>
      <c r="B153" s="2" t="s">
        <v>129</v>
      </c>
      <c r="C153" s="2" t="s">
        <v>130</v>
      </c>
      <c r="D153" s="2" t="str">
        <f>VLOOKUP(C153,[2]world_pop.!$C:$E,3,FALSE)</f>
        <v>Asia</v>
      </c>
      <c r="E153" s="2">
        <v>26069.416000000001</v>
      </c>
      <c r="F153" s="2">
        <v>25971.909</v>
      </c>
      <c r="G153" s="2">
        <v>25867.467000000001</v>
      </c>
      <c r="H153" s="2">
        <v>25807.197</v>
      </c>
      <c r="I153" s="2">
        <v>26569.401000000002</v>
      </c>
      <c r="J153" s="2">
        <v>25258.014999999999</v>
      </c>
      <c r="K153" s="2">
        <v>24686.435000000001</v>
      </c>
      <c r="L153" s="2">
        <v>23367.059000000001</v>
      </c>
      <c r="M153" s="2">
        <v>20799.523000000001</v>
      </c>
      <c r="N153" s="2">
        <v>17973.650000000001</v>
      </c>
      <c r="O153" s="10">
        <v>14996.879000000001</v>
      </c>
      <c r="P153" s="2">
        <v>120538</v>
      </c>
      <c r="Q153" s="12">
        <v>120410</v>
      </c>
      <c r="R153" s="2">
        <v>216.50540000000001</v>
      </c>
      <c r="S153" s="2">
        <v>1.0038</v>
      </c>
      <c r="T153" s="4">
        <v>3.3E-3</v>
      </c>
      <c r="W153" t="s">
        <v>452</v>
      </c>
      <c r="X153" s="6">
        <v>37.664000000000001</v>
      </c>
      <c r="Y153" s="6">
        <v>35.862000000000002</v>
      </c>
      <c r="Z153" s="6">
        <v>36.469000000000001</v>
      </c>
      <c r="AA153" s="6">
        <v>36.686</v>
      </c>
      <c r="AB153" s="6">
        <v>36.76</v>
      </c>
      <c r="AC153" s="6">
        <v>33.177999999999997</v>
      </c>
    </row>
    <row r="154" spans="1:29" x14ac:dyDescent="0.25">
      <c r="A154" s="2">
        <v>150</v>
      </c>
      <c r="B154" s="2" t="s">
        <v>317</v>
      </c>
      <c r="C154" s="2" t="s">
        <v>318</v>
      </c>
      <c r="D154" s="2" t="str">
        <f>VLOOKUP(C154,[2]world_pop.!$C:$E,3,FALSE)</f>
        <v>Europe</v>
      </c>
      <c r="E154" s="2">
        <v>2093.5990000000002</v>
      </c>
      <c r="F154" s="2">
        <v>2103.33</v>
      </c>
      <c r="G154" s="2">
        <v>2111.0720000000001</v>
      </c>
      <c r="H154" s="2">
        <v>1909.309</v>
      </c>
      <c r="I154" s="2">
        <v>2072.2559999999999</v>
      </c>
      <c r="J154" s="2">
        <v>2107.962</v>
      </c>
      <c r="K154" s="2">
        <v>2093.828</v>
      </c>
      <c r="L154" s="2">
        <v>2037.9359999999999</v>
      </c>
      <c r="M154" s="2">
        <v>2044.174</v>
      </c>
      <c r="N154" s="2">
        <v>1907.0229999999999</v>
      </c>
      <c r="O154" s="10">
        <v>1656.7829999999999</v>
      </c>
      <c r="P154" s="2">
        <v>25713</v>
      </c>
      <c r="Q154" s="12">
        <v>25220</v>
      </c>
      <c r="R154" s="2">
        <v>83.013400000000004</v>
      </c>
      <c r="S154" s="2">
        <v>0.99539999999999995</v>
      </c>
      <c r="T154" s="4">
        <v>2.9999999999999997E-4</v>
      </c>
      <c r="W154" t="s">
        <v>286</v>
      </c>
      <c r="X154" s="6">
        <v>4518.8559999999998</v>
      </c>
      <c r="Y154" s="6">
        <v>3736.3270000000002</v>
      </c>
      <c r="Z154" s="6">
        <v>3398.366</v>
      </c>
      <c r="AA154" s="6">
        <v>3347.7820000000002</v>
      </c>
      <c r="AB154" s="6">
        <v>2964.7489999999998</v>
      </c>
      <c r="AC154" s="6">
        <v>2702.52</v>
      </c>
    </row>
    <row r="155" spans="1:29" x14ac:dyDescent="0.25">
      <c r="A155" s="2">
        <v>210</v>
      </c>
      <c r="B155" s="2" t="s">
        <v>437</v>
      </c>
      <c r="C155" s="2" t="s">
        <v>438</v>
      </c>
      <c r="D155" s="2" t="str">
        <f>VLOOKUP(C155,[2]world_pop.!$C:$E,3,FALSE)</f>
        <v>Oceania</v>
      </c>
      <c r="E155" s="2">
        <v>49.551000000000002</v>
      </c>
      <c r="F155" s="2">
        <v>49.481000000000002</v>
      </c>
      <c r="G155" s="2">
        <v>49.587000000000003</v>
      </c>
      <c r="H155" s="2">
        <v>50.05</v>
      </c>
      <c r="I155" s="2">
        <v>51.177999999999997</v>
      </c>
      <c r="J155" s="2">
        <v>51.514000000000003</v>
      </c>
      <c r="K155" s="2">
        <v>54.087000000000003</v>
      </c>
      <c r="L155" s="2">
        <v>80.337999999999994</v>
      </c>
      <c r="M155" s="2">
        <v>48.002000000000002</v>
      </c>
      <c r="N155" s="2">
        <v>17.613</v>
      </c>
      <c r="O155" s="10">
        <v>10.143000000000001</v>
      </c>
      <c r="P155" s="2">
        <v>464</v>
      </c>
      <c r="Q155" s="12">
        <v>460</v>
      </c>
      <c r="R155" s="2">
        <v>107.7196</v>
      </c>
      <c r="S155" s="2">
        <v>1.0014000000000001</v>
      </c>
      <c r="T155" s="4">
        <v>0</v>
      </c>
      <c r="W155" t="s">
        <v>356</v>
      </c>
      <c r="X155" s="6">
        <v>586.38499999999999</v>
      </c>
      <c r="Y155" s="6">
        <v>621.69600000000003</v>
      </c>
      <c r="Z155" s="6">
        <v>627.08199999999999</v>
      </c>
      <c r="AA155" s="6">
        <v>627.85900000000004</v>
      </c>
      <c r="AB155" s="6">
        <v>633.96600000000001</v>
      </c>
      <c r="AC155" s="6">
        <v>631.04399999999998</v>
      </c>
    </row>
    <row r="156" spans="1:29" x14ac:dyDescent="0.25">
      <c r="A156" s="2">
        <v>120</v>
      </c>
      <c r="B156" s="2" t="s">
        <v>257</v>
      </c>
      <c r="C156" s="2" t="s">
        <v>258</v>
      </c>
      <c r="D156" s="2" t="str">
        <f>VLOOKUP(C156,[2]world_pop.!$C:$E,3,FALSE)</f>
        <v>Europe</v>
      </c>
      <c r="E156" s="2">
        <v>5434.3190000000004</v>
      </c>
      <c r="F156" s="2">
        <v>5403.0209999999997</v>
      </c>
      <c r="G156" s="2">
        <v>5379.8389999999999</v>
      </c>
      <c r="H156" s="2">
        <v>6367.5590000000002</v>
      </c>
      <c r="I156" s="2">
        <v>5748.3969999999999</v>
      </c>
      <c r="J156" s="2">
        <v>5190.3559999999998</v>
      </c>
      <c r="K156" s="2">
        <v>4889.741</v>
      </c>
      <c r="L156" s="2">
        <v>4491.2020000000002</v>
      </c>
      <c r="M156" s="2">
        <v>4241.6360000000004</v>
      </c>
      <c r="N156" s="2">
        <v>4085.7759999999998</v>
      </c>
      <c r="O156" s="10">
        <v>3875.5459999999998</v>
      </c>
      <c r="P156" s="2">
        <v>323802</v>
      </c>
      <c r="Q156" s="12">
        <v>364285</v>
      </c>
      <c r="R156" s="2">
        <v>14.9178</v>
      </c>
      <c r="S156" s="2">
        <v>1.0058</v>
      </c>
      <c r="T156" s="4">
        <v>6.9999999999999999E-4</v>
      </c>
      <c r="W156" t="s">
        <v>478</v>
      </c>
      <c r="X156" s="6">
        <v>3.7810000000000001</v>
      </c>
      <c r="Y156" s="6">
        <v>4.3010000000000002</v>
      </c>
      <c r="Z156" s="6">
        <v>4.3899999999999997</v>
      </c>
      <c r="AA156" s="6">
        <v>4.4169999999999998</v>
      </c>
      <c r="AB156" s="6">
        <v>5.0590000000000002</v>
      </c>
      <c r="AC156" s="6">
        <v>4.9379999999999997</v>
      </c>
    </row>
    <row r="157" spans="1:29" x14ac:dyDescent="0.25">
      <c r="A157" s="2">
        <v>127</v>
      </c>
      <c r="B157" s="2" t="s">
        <v>271</v>
      </c>
      <c r="C157" s="2" t="s">
        <v>272</v>
      </c>
      <c r="D157" s="2" t="str">
        <f>VLOOKUP(C157,[2]world_pop.!$C:$E,3,FALSE)</f>
        <v>Asia</v>
      </c>
      <c r="E157" s="2">
        <v>4576.2979999999998</v>
      </c>
      <c r="F157" s="2">
        <v>4520.4709999999995</v>
      </c>
      <c r="G157" s="2">
        <v>4543.3990000000003</v>
      </c>
      <c r="H157" s="2">
        <v>6328.9780000000001</v>
      </c>
      <c r="I157" s="2">
        <v>5093.3760000000002</v>
      </c>
      <c r="J157" s="2">
        <v>4191.7759999999998</v>
      </c>
      <c r="K157" s="2">
        <v>2881.9140000000002</v>
      </c>
      <c r="L157" s="2">
        <v>2344.2530000000002</v>
      </c>
      <c r="M157" s="2">
        <v>1804.5239999999999</v>
      </c>
      <c r="N157" s="2">
        <v>1017.462</v>
      </c>
      <c r="O157" s="10">
        <v>670.69299999999998</v>
      </c>
      <c r="P157" s="2">
        <v>309500</v>
      </c>
      <c r="Q157" s="12">
        <v>309500</v>
      </c>
      <c r="R157" s="2">
        <v>14.786099999999999</v>
      </c>
      <c r="S157" s="2">
        <v>1.0123</v>
      </c>
      <c r="T157" s="4">
        <v>5.9999999999999995E-4</v>
      </c>
      <c r="W157" t="s">
        <v>98</v>
      </c>
      <c r="X157" s="6">
        <v>45044.99</v>
      </c>
      <c r="Y157" s="6">
        <v>40226.394999999997</v>
      </c>
      <c r="Z157" s="6">
        <v>37457.970999999998</v>
      </c>
      <c r="AA157" s="6">
        <v>37076.584000000003</v>
      </c>
      <c r="AB157" s="6">
        <v>34680.457999999999</v>
      </c>
      <c r="AC157" s="6">
        <v>32464.865000000002</v>
      </c>
    </row>
    <row r="158" spans="1:29" x14ac:dyDescent="0.25">
      <c r="A158" s="2">
        <v>5</v>
      </c>
      <c r="B158" s="2" t="s">
        <v>27</v>
      </c>
      <c r="C158" s="2" t="s">
        <v>28</v>
      </c>
      <c r="D158" s="2" t="str">
        <f>VLOOKUP(C158,[2]world_pop.!$C:$E,3,FALSE)</f>
        <v>Asia</v>
      </c>
      <c r="E158" s="2">
        <v>235824.86199999999</v>
      </c>
      <c r="F158" s="2">
        <v>231402.117</v>
      </c>
      <c r="G158" s="2">
        <v>227196.74100000001</v>
      </c>
      <c r="H158" s="2">
        <v>367808.46799999999</v>
      </c>
      <c r="I158" s="2">
        <v>274029.83600000001</v>
      </c>
      <c r="J158" s="2">
        <v>210969.29800000001</v>
      </c>
      <c r="K158" s="2">
        <v>194454.49799999999</v>
      </c>
      <c r="L158" s="2">
        <v>154369.924</v>
      </c>
      <c r="M158" s="2">
        <v>115414.069</v>
      </c>
      <c r="N158" s="2">
        <v>80624.057000000001</v>
      </c>
      <c r="O158" s="10">
        <v>59290.872000000003</v>
      </c>
      <c r="P158" s="2">
        <v>881912</v>
      </c>
      <c r="Q158" s="12">
        <v>770880</v>
      </c>
      <c r="R158" s="2">
        <v>305.91640000000001</v>
      </c>
      <c r="S158" s="2">
        <v>1.0190999999999999</v>
      </c>
      <c r="T158" s="4">
        <v>2.9600000000000001E-2</v>
      </c>
      <c r="W158" t="s">
        <v>114</v>
      </c>
      <c r="X158" s="6">
        <v>63044.497000000003</v>
      </c>
      <c r="Y158" s="6">
        <v>40920.707000000002</v>
      </c>
      <c r="Z158" s="6">
        <v>32969.517999999996</v>
      </c>
      <c r="AA158" s="6">
        <v>32077.072</v>
      </c>
      <c r="AB158" s="6">
        <v>26843.245999999999</v>
      </c>
      <c r="AC158" s="6">
        <v>23073.723000000002</v>
      </c>
    </row>
    <row r="159" spans="1:29" x14ac:dyDescent="0.25">
      <c r="A159" s="2">
        <v>222</v>
      </c>
      <c r="B159" s="2" t="s">
        <v>461</v>
      </c>
      <c r="C159" s="2" t="s">
        <v>462</v>
      </c>
      <c r="D159" s="2" t="str">
        <f>VLOOKUP(C159,[2]world_pop.!$C:$E,3,FALSE)</f>
        <v>Oceania</v>
      </c>
      <c r="E159" s="2">
        <v>18.055</v>
      </c>
      <c r="F159" s="2">
        <v>18.024000000000001</v>
      </c>
      <c r="G159" s="2">
        <v>17.972000000000001</v>
      </c>
      <c r="H159" s="2">
        <v>16.689</v>
      </c>
      <c r="I159" s="2">
        <v>17.919</v>
      </c>
      <c r="J159" s="2">
        <v>17.794</v>
      </c>
      <c r="K159" s="2">
        <v>18.54</v>
      </c>
      <c r="L159" s="2">
        <v>19.725999999999999</v>
      </c>
      <c r="M159" s="2">
        <v>15.292999999999999</v>
      </c>
      <c r="N159" s="2">
        <v>12.252000000000001</v>
      </c>
      <c r="O159" s="10">
        <v>11.366</v>
      </c>
      <c r="P159" s="2">
        <v>459</v>
      </c>
      <c r="Q159" s="12">
        <v>460</v>
      </c>
      <c r="R159" s="2">
        <v>39.25</v>
      </c>
      <c r="S159" s="2">
        <v>1.0017</v>
      </c>
      <c r="T159" s="4">
        <v>0</v>
      </c>
      <c r="W159" t="s">
        <v>70</v>
      </c>
      <c r="X159" s="6">
        <v>59929.398999999998</v>
      </c>
      <c r="Y159" s="6">
        <v>56987.625</v>
      </c>
      <c r="Z159" s="6">
        <v>54179.305999999997</v>
      </c>
      <c r="AA159" s="6">
        <v>53798.084000000003</v>
      </c>
      <c r="AB159" s="6">
        <v>51483.949000000001</v>
      </c>
      <c r="AC159" s="6">
        <v>49390.987999999998</v>
      </c>
    </row>
    <row r="160" spans="1:29" x14ac:dyDescent="0.25">
      <c r="A160" s="2">
        <v>122</v>
      </c>
      <c r="B160" s="2" t="s">
        <v>261</v>
      </c>
      <c r="C160" s="2" t="s">
        <v>262</v>
      </c>
      <c r="D160" s="2" t="str">
        <f>VLOOKUP(C160,[2]world_pop.!$C:$E,3,FALSE)</f>
        <v>Asia</v>
      </c>
      <c r="E160" s="2">
        <v>5250.0720000000001</v>
      </c>
      <c r="F160" s="2">
        <v>5133.3919999999998</v>
      </c>
      <c r="G160" s="2">
        <v>5019.4009999999998</v>
      </c>
      <c r="H160" s="2">
        <v>8861.7469999999994</v>
      </c>
      <c r="I160" s="2">
        <v>6256.9489999999996</v>
      </c>
      <c r="J160" s="2">
        <v>4484.6139999999996</v>
      </c>
      <c r="K160" s="2">
        <v>3992.2779999999998</v>
      </c>
      <c r="L160" s="2">
        <v>3139.9540000000002</v>
      </c>
      <c r="M160" s="2">
        <v>2124.6089999999999</v>
      </c>
      <c r="N160" s="2">
        <v>1453.62</v>
      </c>
      <c r="O160" s="10">
        <v>1118.241</v>
      </c>
      <c r="P160" s="2">
        <v>6220</v>
      </c>
      <c r="Q160" s="12">
        <v>6020</v>
      </c>
      <c r="R160" s="2">
        <v>872.10500000000002</v>
      </c>
      <c r="S160" s="2">
        <v>1.0226999999999999</v>
      </c>
      <c r="T160" s="4">
        <v>6.9999999999999999E-4</v>
      </c>
      <c r="W160" t="s">
        <v>308</v>
      </c>
      <c r="X160" s="6">
        <v>3779.9180000000001</v>
      </c>
      <c r="Y160" s="6">
        <v>2910.056</v>
      </c>
      <c r="Z160" s="6">
        <v>2567.0120000000002</v>
      </c>
      <c r="AA160" s="6">
        <v>2530.1509999999998</v>
      </c>
      <c r="AB160" s="6">
        <v>2282.7040000000002</v>
      </c>
      <c r="AC160" s="6">
        <v>2099.2710000000002</v>
      </c>
    </row>
    <row r="161" spans="1:29" x14ac:dyDescent="0.25">
      <c r="A161" s="2">
        <v>128</v>
      </c>
      <c r="B161" s="2" t="s">
        <v>273</v>
      </c>
      <c r="C161" s="2" t="s">
        <v>274</v>
      </c>
      <c r="D161" s="2" t="str">
        <f>VLOOKUP(C161,[2]world_pop.!$C:$E,3,FALSE)</f>
        <v>North America</v>
      </c>
      <c r="E161" s="2">
        <v>4408.5810000000001</v>
      </c>
      <c r="F161" s="2">
        <v>4351.2669999999998</v>
      </c>
      <c r="G161" s="2">
        <v>4294.3959999999997</v>
      </c>
      <c r="H161" s="2">
        <v>5736.1210000000001</v>
      </c>
      <c r="I161" s="2">
        <v>4864.1260000000002</v>
      </c>
      <c r="J161" s="2">
        <v>3957.0990000000002</v>
      </c>
      <c r="K161" s="2">
        <v>3623.6170000000002</v>
      </c>
      <c r="L161" s="2">
        <v>3001.7310000000002</v>
      </c>
      <c r="M161" s="2">
        <v>2449.9679999999998</v>
      </c>
      <c r="N161" s="2">
        <v>1956.9870000000001</v>
      </c>
      <c r="O161" s="10">
        <v>1516.1880000000001</v>
      </c>
      <c r="P161" s="2">
        <v>75417</v>
      </c>
      <c r="Q161" s="12">
        <v>74180</v>
      </c>
      <c r="R161" s="2">
        <v>59.430900000000001</v>
      </c>
      <c r="S161" s="2">
        <v>1.0132000000000001</v>
      </c>
      <c r="T161" s="4">
        <v>5.9999999999999995E-4</v>
      </c>
      <c r="W161" t="s">
        <v>468</v>
      </c>
      <c r="X161" s="6">
        <v>14.695</v>
      </c>
      <c r="Y161" s="6">
        <v>13.358000000000001</v>
      </c>
      <c r="Z161" s="6">
        <v>12.667999999999999</v>
      </c>
      <c r="AA161" s="6">
        <v>12.510999999999999</v>
      </c>
      <c r="AB161" s="6">
        <v>11.185</v>
      </c>
      <c r="AC161" s="6">
        <v>10.241</v>
      </c>
    </row>
    <row r="162" spans="1:29" x14ac:dyDescent="0.25">
      <c r="A162" s="2">
        <v>93</v>
      </c>
      <c r="B162" s="2" t="s">
        <v>203</v>
      </c>
      <c r="C162" s="2" t="s">
        <v>204</v>
      </c>
      <c r="D162" s="2" t="str">
        <f>VLOOKUP(C162,[2]world_pop.!$C:$E,3,FALSE)</f>
        <v>Oceania</v>
      </c>
      <c r="E162" s="2">
        <v>10142.619000000001</v>
      </c>
      <c r="F162" s="2">
        <v>9949.4369999999999</v>
      </c>
      <c r="G162" s="2">
        <v>9749.64</v>
      </c>
      <c r="H162" s="2">
        <v>14910.369000000001</v>
      </c>
      <c r="I162" s="2">
        <v>11615.322</v>
      </c>
      <c r="J162" s="2">
        <v>8682.1740000000009</v>
      </c>
      <c r="K162" s="2">
        <v>7583.2690000000002</v>
      </c>
      <c r="L162" s="2">
        <v>5508.2969999999996</v>
      </c>
      <c r="M162" s="2">
        <v>3864.9720000000002</v>
      </c>
      <c r="N162" s="2">
        <v>3104.788</v>
      </c>
      <c r="O162" s="10">
        <v>2489.0590000000002</v>
      </c>
      <c r="P162" s="2">
        <v>462840</v>
      </c>
      <c r="Q162" s="12">
        <v>452860</v>
      </c>
      <c r="R162" s="2">
        <v>22.396799999999999</v>
      </c>
      <c r="S162" s="2">
        <v>1.0194000000000001</v>
      </c>
      <c r="T162" s="4">
        <v>1.2999999999999999E-3</v>
      </c>
      <c r="W162" t="s">
        <v>116</v>
      </c>
      <c r="X162" s="6">
        <v>37401.364999999998</v>
      </c>
      <c r="Y162" s="6">
        <v>33133.394999999997</v>
      </c>
      <c r="Z162" s="6">
        <v>30547.58</v>
      </c>
      <c r="AA162" s="6">
        <v>30034.989000000001</v>
      </c>
      <c r="AB162" s="6">
        <v>27610.325000000001</v>
      </c>
      <c r="AC162" s="6">
        <v>27161.566999999999</v>
      </c>
    </row>
    <row r="163" spans="1:29" x14ac:dyDescent="0.25">
      <c r="A163" s="2">
        <v>109</v>
      </c>
      <c r="B163" s="2" t="s">
        <v>235</v>
      </c>
      <c r="C163" s="2" t="s">
        <v>236</v>
      </c>
      <c r="D163" s="2" t="str">
        <f>VLOOKUP(C163,[2]world_pop.!$C:$E,3,FALSE)</f>
        <v>South America</v>
      </c>
      <c r="E163" s="2">
        <v>6780.7439999999997</v>
      </c>
      <c r="F163" s="2">
        <v>6703.799</v>
      </c>
      <c r="G163" s="2">
        <v>6618.6949999999997</v>
      </c>
      <c r="H163" s="2">
        <v>8591.4860000000008</v>
      </c>
      <c r="I163" s="2">
        <v>7425.4480000000003</v>
      </c>
      <c r="J163" s="2">
        <v>6177.95</v>
      </c>
      <c r="K163" s="2">
        <v>5768.6130000000003</v>
      </c>
      <c r="L163" s="2">
        <v>5123.8190000000004</v>
      </c>
      <c r="M163" s="2">
        <v>4059.1950000000002</v>
      </c>
      <c r="N163" s="2">
        <v>3078.9119999999998</v>
      </c>
      <c r="O163" s="10">
        <v>2408.7869999999998</v>
      </c>
      <c r="P163" s="2">
        <v>406752</v>
      </c>
      <c r="Q163" s="12">
        <v>397300</v>
      </c>
      <c r="R163" s="2">
        <v>17.0671</v>
      </c>
      <c r="S163" s="2">
        <v>1.0115000000000001</v>
      </c>
      <c r="T163" s="4">
        <v>8.9999999999999998E-4</v>
      </c>
      <c r="W163" t="s">
        <v>160</v>
      </c>
      <c r="X163" s="6">
        <v>17897.025000000001</v>
      </c>
      <c r="Y163" s="6">
        <v>17943.803</v>
      </c>
      <c r="Z163" s="6">
        <v>17564.013999999999</v>
      </c>
      <c r="AA163" s="6">
        <v>17501.696</v>
      </c>
      <c r="AB163" s="6">
        <v>17041.107</v>
      </c>
      <c r="AC163" s="6">
        <v>16617.116999999998</v>
      </c>
    </row>
    <row r="164" spans="1:29" x14ac:dyDescent="0.25">
      <c r="A164" s="2">
        <v>44</v>
      </c>
      <c r="B164" s="2" t="s">
        <v>105</v>
      </c>
      <c r="C164" s="2" t="s">
        <v>106</v>
      </c>
      <c r="D164" s="2" t="str">
        <f>VLOOKUP(C164,[2]world_pop.!$C:$E,3,FALSE)</f>
        <v>South America</v>
      </c>
      <c r="E164" s="2">
        <v>34049.588000000003</v>
      </c>
      <c r="F164" s="2">
        <v>33715.470999999998</v>
      </c>
      <c r="G164" s="2">
        <v>33304.756000000001</v>
      </c>
      <c r="H164" s="2">
        <v>42022.553999999996</v>
      </c>
      <c r="I164" s="2">
        <v>36702.392999999996</v>
      </c>
      <c r="J164" s="2">
        <v>30711.863000000001</v>
      </c>
      <c r="K164" s="2">
        <v>29229.572</v>
      </c>
      <c r="L164" s="2">
        <v>26654.438999999998</v>
      </c>
      <c r="M164" s="2">
        <v>22109.098999999998</v>
      </c>
      <c r="N164" s="2">
        <v>17492.405999999999</v>
      </c>
      <c r="O164" s="10">
        <v>13562.370999999999</v>
      </c>
      <c r="P164" s="2">
        <v>1285216</v>
      </c>
      <c r="Q164" s="12">
        <v>1280000</v>
      </c>
      <c r="R164" s="2">
        <v>26.601199999999999</v>
      </c>
      <c r="S164" s="2">
        <v>1.0099</v>
      </c>
      <c r="T164" s="4">
        <v>4.3E-3</v>
      </c>
      <c r="W164" t="s">
        <v>388</v>
      </c>
      <c r="X164" s="6">
        <v>353.19099999999997</v>
      </c>
      <c r="Y164" s="6">
        <v>312.529</v>
      </c>
      <c r="Z164" s="6">
        <v>289.95</v>
      </c>
      <c r="AA164" s="6">
        <v>287.8</v>
      </c>
      <c r="AB164" s="6">
        <v>283.03199999999998</v>
      </c>
      <c r="AC164" s="6">
        <v>261.42599999999999</v>
      </c>
    </row>
    <row r="165" spans="1:29" x14ac:dyDescent="0.25">
      <c r="A165" s="2">
        <v>13</v>
      </c>
      <c r="B165" s="2" t="s">
        <v>43</v>
      </c>
      <c r="C165" s="2" t="s">
        <v>44</v>
      </c>
      <c r="D165" s="2" t="str">
        <f>VLOOKUP(C165,[2]world_pop.!$C:$E,3,FALSE)</f>
        <v>Asia</v>
      </c>
      <c r="E165" s="2">
        <v>115559.00900000001</v>
      </c>
      <c r="F165" s="2">
        <v>113880.32799999999</v>
      </c>
      <c r="G165" s="2">
        <v>112190.977</v>
      </c>
      <c r="H165" s="2">
        <v>157891.622</v>
      </c>
      <c r="I165" s="2">
        <v>129453.321</v>
      </c>
      <c r="J165" s="2">
        <v>103031.36500000001</v>
      </c>
      <c r="K165" s="2">
        <v>94636.7</v>
      </c>
      <c r="L165" s="2">
        <v>77958.222999999998</v>
      </c>
      <c r="M165" s="2">
        <v>61558.898000000001</v>
      </c>
      <c r="N165" s="2">
        <v>48419.546000000002</v>
      </c>
      <c r="O165" s="10">
        <v>37435.586000000003</v>
      </c>
      <c r="P165" s="2">
        <v>342353</v>
      </c>
      <c r="Q165" s="12">
        <v>298170</v>
      </c>
      <c r="R165" s="2">
        <v>387.56079999999997</v>
      </c>
      <c r="S165" s="2">
        <v>1.0146999999999999</v>
      </c>
      <c r="T165" s="4">
        <v>1.4500000000000001E-2</v>
      </c>
      <c r="W165" t="s">
        <v>264</v>
      </c>
      <c r="X165" s="6">
        <v>5949.0020000000004</v>
      </c>
      <c r="Y165" s="6">
        <v>5495.67</v>
      </c>
      <c r="Z165" s="6">
        <v>5185.2879999999996</v>
      </c>
      <c r="AA165" s="6">
        <v>5129.7269999999999</v>
      </c>
      <c r="AB165" s="6">
        <v>4590.59</v>
      </c>
      <c r="AC165" s="6">
        <v>4346.3379999999997</v>
      </c>
    </row>
    <row r="166" spans="1:29" x14ac:dyDescent="0.25">
      <c r="A166" s="2">
        <v>37</v>
      </c>
      <c r="B166" s="2" t="s">
        <v>91</v>
      </c>
      <c r="C166" s="2" t="s">
        <v>92</v>
      </c>
      <c r="D166" s="2" t="str">
        <f>VLOOKUP(C166,[2]world_pop.!$C:$E,3,FALSE)</f>
        <v>Europe</v>
      </c>
      <c r="E166" s="2">
        <v>39857.144999999997</v>
      </c>
      <c r="F166" s="2">
        <v>38307.726000000002</v>
      </c>
      <c r="G166" s="2">
        <v>38428.366000000002</v>
      </c>
      <c r="H166" s="2">
        <v>34932.339</v>
      </c>
      <c r="I166" s="2">
        <v>38700.517999999996</v>
      </c>
      <c r="J166" s="2">
        <v>38553.146000000001</v>
      </c>
      <c r="K166" s="2">
        <v>38597.353000000003</v>
      </c>
      <c r="L166" s="2">
        <v>38504.430999999997</v>
      </c>
      <c r="M166" s="2">
        <v>38064.254999999997</v>
      </c>
      <c r="N166" s="2">
        <v>35521.428999999996</v>
      </c>
      <c r="O166" s="10">
        <v>32482.942999999999</v>
      </c>
      <c r="P166" s="2">
        <v>312679</v>
      </c>
      <c r="Q166" s="12">
        <v>306130</v>
      </c>
      <c r="R166" s="2">
        <v>130.1968</v>
      </c>
      <c r="S166" s="2">
        <v>1.0404</v>
      </c>
      <c r="T166" s="4">
        <v>5.0000000000000001E-3</v>
      </c>
      <c r="W166" t="s">
        <v>230</v>
      </c>
      <c r="X166" s="6">
        <v>9094.6409999999996</v>
      </c>
      <c r="Y166" s="6">
        <v>7688.6859999999997</v>
      </c>
      <c r="Z166" s="6">
        <v>6948.3919999999998</v>
      </c>
      <c r="AA166" s="6">
        <v>6850.54</v>
      </c>
      <c r="AB166" s="6">
        <v>6298.598</v>
      </c>
      <c r="AC166" s="6">
        <v>5855.7340000000004</v>
      </c>
    </row>
    <row r="167" spans="1:29" x14ac:dyDescent="0.25">
      <c r="A167" s="2">
        <v>92</v>
      </c>
      <c r="B167" s="2" t="s">
        <v>201</v>
      </c>
      <c r="C167" s="2" t="s">
        <v>202</v>
      </c>
      <c r="D167" s="2" t="str">
        <f>VLOOKUP(C167,[2]world_pop.!$C:$E,3,FALSE)</f>
        <v>Europe</v>
      </c>
      <c r="E167" s="2">
        <v>10270.865</v>
      </c>
      <c r="F167" s="2">
        <v>10290.102999999999</v>
      </c>
      <c r="G167" s="2">
        <v>10298.191999999999</v>
      </c>
      <c r="H167" s="2">
        <v>9261.3050000000003</v>
      </c>
      <c r="I167" s="2">
        <v>10062.183000000001</v>
      </c>
      <c r="J167" s="2">
        <v>10365.434999999999</v>
      </c>
      <c r="K167" s="2">
        <v>10588.401</v>
      </c>
      <c r="L167" s="2">
        <v>10300.626</v>
      </c>
      <c r="M167" s="2">
        <v>10007.346</v>
      </c>
      <c r="N167" s="2">
        <v>9785.2520000000004</v>
      </c>
      <c r="O167" s="10">
        <v>8683.6309999999994</v>
      </c>
      <c r="P167" s="2">
        <v>92090</v>
      </c>
      <c r="Q167" s="12">
        <v>91605.6</v>
      </c>
      <c r="R167" s="2">
        <v>112.12050000000001</v>
      </c>
      <c r="S167" s="2">
        <v>0.99809999999999999</v>
      </c>
      <c r="T167" s="4">
        <v>1.2999999999999999E-3</v>
      </c>
      <c r="W167" t="s">
        <v>126</v>
      </c>
      <c r="X167" s="6">
        <v>67043.296000000002</v>
      </c>
      <c r="Y167" s="6">
        <v>35217.942000000003</v>
      </c>
      <c r="Z167" s="6">
        <v>26207.976999999999</v>
      </c>
      <c r="AA167" s="6">
        <v>25252.722000000002</v>
      </c>
      <c r="AB167" s="6">
        <v>20128.124</v>
      </c>
      <c r="AC167" s="6">
        <v>16647.543000000001</v>
      </c>
    </row>
    <row r="168" spans="1:29" x14ac:dyDescent="0.25">
      <c r="A168" s="2">
        <v>136</v>
      </c>
      <c r="B168" s="2" t="s">
        <v>289</v>
      </c>
      <c r="C168" s="2" t="s">
        <v>290</v>
      </c>
      <c r="D168" s="2" t="str">
        <f>VLOOKUP(C168,[2]world_pop.!$C:$E,3,FALSE)</f>
        <v>North America</v>
      </c>
      <c r="E168" s="2">
        <v>3252.4070000000002</v>
      </c>
      <c r="F168" s="2">
        <v>3256.0279999999998</v>
      </c>
      <c r="G168" s="2">
        <v>3271.5639999999999</v>
      </c>
      <c r="H168" s="2">
        <v>2727.6239999999998</v>
      </c>
      <c r="I168" s="2">
        <v>3259.7220000000002</v>
      </c>
      <c r="J168" s="2">
        <v>3497.335</v>
      </c>
      <c r="K168" s="2">
        <v>3717.922</v>
      </c>
      <c r="L168" s="2">
        <v>3827.1080000000002</v>
      </c>
      <c r="M168" s="2">
        <v>3543.7759999999998</v>
      </c>
      <c r="N168" s="2">
        <v>3214.5680000000002</v>
      </c>
      <c r="O168" s="10">
        <v>2737.6190000000001</v>
      </c>
      <c r="P168" s="2">
        <v>8870</v>
      </c>
      <c r="Q168" s="12">
        <v>8870</v>
      </c>
      <c r="R168" s="2">
        <v>366.67500000000001</v>
      </c>
      <c r="S168" s="2">
        <v>0.99890000000000001</v>
      </c>
      <c r="T168" s="4">
        <v>4.0000000000000002E-4</v>
      </c>
      <c r="W168" t="s">
        <v>30</v>
      </c>
      <c r="X168" s="6">
        <v>377459.88299999997</v>
      </c>
      <c r="Y168" s="6">
        <v>262580.42599999998</v>
      </c>
      <c r="Z168" s="6">
        <v>218541.212</v>
      </c>
      <c r="AA168" s="6">
        <v>213401.323</v>
      </c>
      <c r="AB168" s="6">
        <v>183995.785</v>
      </c>
      <c r="AC168" s="6">
        <v>160952.853</v>
      </c>
    </row>
    <row r="169" spans="1:29" x14ac:dyDescent="0.25">
      <c r="A169" s="2">
        <v>143</v>
      </c>
      <c r="B169" s="2" t="s">
        <v>303</v>
      </c>
      <c r="C169" s="2" t="s">
        <v>304</v>
      </c>
      <c r="D169" s="2" t="str">
        <f>VLOOKUP(C169,[2]world_pop.!$C:$E,3,FALSE)</f>
        <v>Asia</v>
      </c>
      <c r="E169" s="2">
        <v>2695.1219999999998</v>
      </c>
      <c r="F169" s="2">
        <v>2688.2350000000001</v>
      </c>
      <c r="G169" s="2">
        <v>2760.3850000000002</v>
      </c>
      <c r="H169" s="2">
        <v>3358.4540000000002</v>
      </c>
      <c r="I169" s="2">
        <v>2855.2910000000002</v>
      </c>
      <c r="J169" s="2">
        <v>2414.5729999999999</v>
      </c>
      <c r="K169" s="2">
        <v>1713.5039999999999</v>
      </c>
      <c r="L169" s="2">
        <v>645.93700000000001</v>
      </c>
      <c r="M169" s="2">
        <v>441.67500000000001</v>
      </c>
      <c r="N169" s="2">
        <v>277.45</v>
      </c>
      <c r="O169" s="10">
        <v>118.00700000000001</v>
      </c>
      <c r="P169" s="2">
        <v>11586</v>
      </c>
      <c r="Q169" s="12">
        <v>11490</v>
      </c>
      <c r="R169" s="2">
        <v>234.5624</v>
      </c>
      <c r="S169" s="2">
        <v>1.0025999999999999</v>
      </c>
      <c r="T169" s="4">
        <v>2.9999999999999997E-4</v>
      </c>
      <c r="W169" t="s">
        <v>482</v>
      </c>
      <c r="X169" s="6">
        <v>2.0960000000000001</v>
      </c>
      <c r="Y169" s="6">
        <v>1.948</v>
      </c>
      <c r="Z169" s="6">
        <v>1.9339999999999999</v>
      </c>
      <c r="AA169" s="6">
        <v>1.9370000000000001</v>
      </c>
      <c r="AB169" s="6">
        <v>1.847</v>
      </c>
      <c r="AC169" s="6">
        <v>1.8120000000000001</v>
      </c>
    </row>
    <row r="170" spans="1:29" x14ac:dyDescent="0.25">
      <c r="A170" s="2">
        <v>114</v>
      </c>
      <c r="B170" s="2" t="s">
        <v>245</v>
      </c>
      <c r="C170" s="2" t="s">
        <v>246</v>
      </c>
      <c r="D170" s="2" t="str">
        <f>VLOOKUP(C170,[2]world_pop.!$C:$E,3,FALSE)</f>
        <v>Africa</v>
      </c>
      <c r="E170" s="2">
        <v>5970.424</v>
      </c>
      <c r="F170" s="2">
        <v>5835.8059999999996</v>
      </c>
      <c r="G170" s="2">
        <v>5702.174</v>
      </c>
      <c r="H170" s="2">
        <v>10378.912</v>
      </c>
      <c r="I170" s="2">
        <v>7114.9870000000001</v>
      </c>
      <c r="J170" s="2">
        <v>5064.3860000000004</v>
      </c>
      <c r="K170" s="2">
        <v>4437.884</v>
      </c>
      <c r="L170" s="2">
        <v>3134.03</v>
      </c>
      <c r="M170" s="2">
        <v>2385.4349999999999</v>
      </c>
      <c r="N170" s="2">
        <v>1829.2560000000001</v>
      </c>
      <c r="O170" s="10">
        <v>1396.989</v>
      </c>
      <c r="P170" s="2">
        <v>342000</v>
      </c>
      <c r="Q170" s="12">
        <v>341500</v>
      </c>
      <c r="R170" s="2">
        <v>17.482900000000001</v>
      </c>
      <c r="S170" s="2">
        <v>1.0230999999999999</v>
      </c>
      <c r="T170" s="4">
        <v>6.9999999999999999E-4</v>
      </c>
      <c r="W170" t="s">
        <v>130</v>
      </c>
      <c r="X170" s="6">
        <v>25807.197</v>
      </c>
      <c r="Y170" s="6">
        <v>26569.401000000002</v>
      </c>
      <c r="Z170" s="6">
        <v>26069.416000000001</v>
      </c>
      <c r="AA170" s="6">
        <v>25971.909</v>
      </c>
      <c r="AB170" s="6">
        <v>25258.014999999999</v>
      </c>
      <c r="AC170" s="6">
        <v>24686.435000000001</v>
      </c>
    </row>
    <row r="171" spans="1:29" x14ac:dyDescent="0.25">
      <c r="A171" s="2">
        <v>161</v>
      </c>
      <c r="B171" s="2" t="s">
        <v>339</v>
      </c>
      <c r="C171" s="2" t="s">
        <v>340</v>
      </c>
      <c r="D171" s="2" t="str">
        <f>VLOOKUP(C171,[2]world_pop.!$C:$E,3,FALSE)</f>
        <v>Africa</v>
      </c>
      <c r="E171" s="2">
        <v>974.05200000000002</v>
      </c>
      <c r="F171" s="2">
        <v>966.12900000000002</v>
      </c>
      <c r="G171" s="2">
        <v>957.822</v>
      </c>
      <c r="H171" s="2">
        <v>1127.252</v>
      </c>
      <c r="I171" s="2">
        <v>1031.8219999999999</v>
      </c>
      <c r="J171" s="2">
        <v>922.495</v>
      </c>
      <c r="K171" s="2">
        <v>890.13</v>
      </c>
      <c r="L171" s="2">
        <v>785.42399999999998</v>
      </c>
      <c r="M171" s="2">
        <v>658.99199999999996</v>
      </c>
      <c r="N171" s="2">
        <v>551.67399999999998</v>
      </c>
      <c r="O171" s="10">
        <v>473.92500000000001</v>
      </c>
      <c r="P171" s="2">
        <v>2511</v>
      </c>
      <c r="Q171" s="12">
        <v>2512</v>
      </c>
      <c r="R171" s="2">
        <v>387.75959999999998</v>
      </c>
      <c r="S171" s="2">
        <v>1.0082</v>
      </c>
      <c r="T171" s="4">
        <v>1E-4</v>
      </c>
      <c r="W171" t="s">
        <v>318</v>
      </c>
      <c r="X171" s="6">
        <v>1909.309</v>
      </c>
      <c r="Y171" s="6">
        <v>2072.2559999999999</v>
      </c>
      <c r="Z171" s="6">
        <v>2093.5990000000002</v>
      </c>
      <c r="AA171" s="6">
        <v>2103.33</v>
      </c>
      <c r="AB171" s="6">
        <v>2107.962</v>
      </c>
      <c r="AC171" s="6">
        <v>2093.828</v>
      </c>
    </row>
    <row r="172" spans="1:29" x14ac:dyDescent="0.25">
      <c r="A172" s="2">
        <v>64</v>
      </c>
      <c r="B172" s="2" t="s">
        <v>145</v>
      </c>
      <c r="C172" s="2" t="s">
        <v>146</v>
      </c>
      <c r="D172" s="2" t="str">
        <f>VLOOKUP(C172,[2]world_pop.!$C:$E,3,FALSE)</f>
        <v>Europe</v>
      </c>
      <c r="E172" s="2">
        <v>19659.267</v>
      </c>
      <c r="F172" s="2">
        <v>19328.560000000001</v>
      </c>
      <c r="G172" s="2">
        <v>19442.038</v>
      </c>
      <c r="H172" s="2">
        <v>17457.213</v>
      </c>
      <c r="I172" s="2">
        <v>19023.383000000002</v>
      </c>
      <c r="J172" s="2">
        <v>19906.079000000002</v>
      </c>
      <c r="K172" s="2">
        <v>20335.210999999999</v>
      </c>
      <c r="L172" s="2">
        <v>21919.876</v>
      </c>
      <c r="M172" s="2">
        <v>22836.234</v>
      </c>
      <c r="N172" s="2">
        <v>22125.223999999998</v>
      </c>
      <c r="O172" s="10">
        <v>19922.617999999999</v>
      </c>
      <c r="P172" s="2">
        <v>238391</v>
      </c>
      <c r="Q172" s="12">
        <v>230080</v>
      </c>
      <c r="R172" s="2">
        <v>85.445400000000006</v>
      </c>
      <c r="S172" s="2">
        <v>1.0170999999999999</v>
      </c>
      <c r="T172" s="4">
        <v>2.5000000000000001E-3</v>
      </c>
      <c r="W172" t="s">
        <v>438</v>
      </c>
      <c r="X172" s="6">
        <v>50.05</v>
      </c>
      <c r="Y172" s="6">
        <v>51.177999999999997</v>
      </c>
      <c r="Z172" s="6">
        <v>49.551000000000002</v>
      </c>
      <c r="AA172" s="6">
        <v>49.481000000000002</v>
      </c>
      <c r="AB172" s="6">
        <v>51.514000000000003</v>
      </c>
      <c r="AC172" s="6">
        <v>54.087000000000003</v>
      </c>
    </row>
    <row r="173" spans="1:29" x14ac:dyDescent="0.25">
      <c r="A173" s="2">
        <v>9</v>
      </c>
      <c r="B173" s="2" t="s">
        <v>35</v>
      </c>
      <c r="C173" s="2" t="s">
        <v>36</v>
      </c>
      <c r="D173" s="2" t="str">
        <f>VLOOKUP(C173,[2]world_pop.!$C:$E,3,FALSE)</f>
        <v>Europe</v>
      </c>
      <c r="E173" s="2">
        <v>144713.31400000001</v>
      </c>
      <c r="F173" s="2">
        <v>145102.755</v>
      </c>
      <c r="G173" s="2">
        <v>145617.329</v>
      </c>
      <c r="H173" s="2">
        <v>133133.035</v>
      </c>
      <c r="I173" s="2">
        <v>141432.74100000001</v>
      </c>
      <c r="J173" s="2">
        <v>144668.389</v>
      </c>
      <c r="K173" s="2">
        <v>143242.59899999999</v>
      </c>
      <c r="L173" s="2">
        <v>146844.83900000001</v>
      </c>
      <c r="M173" s="2">
        <v>148005.704</v>
      </c>
      <c r="N173" s="2">
        <v>138257.42000000001</v>
      </c>
      <c r="O173" s="10">
        <v>130093.01</v>
      </c>
      <c r="P173" s="2">
        <v>17098242</v>
      </c>
      <c r="Q173" s="12">
        <v>16376870</v>
      </c>
      <c r="R173" s="2">
        <v>8.8363999999999994</v>
      </c>
      <c r="S173" s="2">
        <v>0.99729999999999996</v>
      </c>
      <c r="T173" s="4">
        <v>1.8100000000000002E-2</v>
      </c>
      <c r="W173" t="s">
        <v>258</v>
      </c>
      <c r="X173" s="6">
        <v>6367.5590000000002</v>
      </c>
      <c r="Y173" s="6">
        <v>5748.3969999999999</v>
      </c>
      <c r="Z173" s="6">
        <v>5434.3190000000004</v>
      </c>
      <c r="AA173" s="6">
        <v>5403.0209999999997</v>
      </c>
      <c r="AB173" s="6">
        <v>5190.3559999999998</v>
      </c>
      <c r="AC173" s="6">
        <v>4889.741</v>
      </c>
    </row>
    <row r="174" spans="1:29" x14ac:dyDescent="0.25">
      <c r="A174" s="2">
        <v>76</v>
      </c>
      <c r="B174" s="2" t="s">
        <v>169</v>
      </c>
      <c r="C174" s="2" t="s">
        <v>170</v>
      </c>
      <c r="D174" s="2" t="str">
        <f>VLOOKUP(C174,[2]world_pop.!$C:$E,3,FALSE)</f>
        <v>Africa</v>
      </c>
      <c r="E174" s="2">
        <v>13776.698</v>
      </c>
      <c r="F174" s="2">
        <v>13461.888000000001</v>
      </c>
      <c r="G174" s="2">
        <v>13146.361999999999</v>
      </c>
      <c r="H174" s="2">
        <v>23030.045999999998</v>
      </c>
      <c r="I174" s="2">
        <v>16375.704</v>
      </c>
      <c r="J174" s="2">
        <v>11642.959000000001</v>
      </c>
      <c r="K174" s="2">
        <v>10309.031000000001</v>
      </c>
      <c r="L174" s="2">
        <v>8109.9889999999996</v>
      </c>
      <c r="M174" s="2">
        <v>7319.9620000000004</v>
      </c>
      <c r="N174" s="2">
        <v>5247.5320000000002</v>
      </c>
      <c r="O174" s="10">
        <v>3896.3670000000002</v>
      </c>
      <c r="P174" s="2">
        <v>26338</v>
      </c>
      <c r="Q174" s="12">
        <v>24670</v>
      </c>
      <c r="R174" s="2">
        <v>558.4393</v>
      </c>
      <c r="S174" s="2">
        <v>1.0234000000000001</v>
      </c>
      <c r="T174" s="4">
        <v>1.6999999999999999E-3</v>
      </c>
      <c r="W174" t="s">
        <v>272</v>
      </c>
      <c r="X174" s="6">
        <v>6328.9780000000001</v>
      </c>
      <c r="Y174" s="6">
        <v>5093.3760000000002</v>
      </c>
      <c r="Z174" s="6">
        <v>4576.2979999999998</v>
      </c>
      <c r="AA174" s="6">
        <v>4520.4709999999995</v>
      </c>
      <c r="AB174" s="6">
        <v>4191.7759999999998</v>
      </c>
      <c r="AC174" s="6">
        <v>2881.9140000000002</v>
      </c>
    </row>
    <row r="175" spans="1:29" x14ac:dyDescent="0.25">
      <c r="A175" s="2">
        <v>228</v>
      </c>
      <c r="B175" s="2" t="s">
        <v>473</v>
      </c>
      <c r="C175" s="2" t="s">
        <v>474</v>
      </c>
      <c r="D175" s="2" t="str">
        <f>VLOOKUP(C175,[2]world_pop.!$C:$E,3,FALSE)</f>
        <v>North America</v>
      </c>
      <c r="E175" s="2">
        <v>10.967000000000001</v>
      </c>
      <c r="F175" s="2">
        <v>10.861000000000001</v>
      </c>
      <c r="G175" s="2">
        <v>10.680999999999999</v>
      </c>
      <c r="H175" s="2">
        <v>10.210000000000001</v>
      </c>
      <c r="I175" s="2">
        <v>11.113</v>
      </c>
      <c r="J175" s="2">
        <v>9.6430000000000007</v>
      </c>
      <c r="K175" s="2">
        <v>8.9879999999999995</v>
      </c>
      <c r="L175" s="2">
        <v>7.0819999999999999</v>
      </c>
      <c r="M175" s="2">
        <v>5.1680000000000001</v>
      </c>
      <c r="N175" s="2">
        <v>2.9830000000000001</v>
      </c>
      <c r="O175" s="10">
        <v>2.4169999999999998</v>
      </c>
      <c r="P175" s="2">
        <v>21</v>
      </c>
      <c r="Q175" s="12">
        <v>25</v>
      </c>
      <c r="R175" s="2">
        <v>438.68</v>
      </c>
      <c r="S175" s="2">
        <v>1.0098</v>
      </c>
      <c r="T175" s="4">
        <v>0</v>
      </c>
      <c r="W175" t="s">
        <v>28</v>
      </c>
      <c r="X175" s="6">
        <v>367808.46799999999</v>
      </c>
      <c r="Y175" s="6">
        <v>274029.83600000001</v>
      </c>
      <c r="Z175" s="6">
        <v>235824.86199999999</v>
      </c>
      <c r="AA175" s="6">
        <v>231402.117</v>
      </c>
      <c r="AB175" s="6">
        <v>210969.29800000001</v>
      </c>
      <c r="AC175" s="6">
        <v>194454.49799999999</v>
      </c>
    </row>
    <row r="176" spans="1:29" x14ac:dyDescent="0.25">
      <c r="A176" s="2">
        <v>211</v>
      </c>
      <c r="B176" s="2" t="s">
        <v>439</v>
      </c>
      <c r="C176" s="2" t="s">
        <v>440</v>
      </c>
      <c r="D176" s="2" t="str">
        <f>VLOOKUP(C176,[2]world_pop.!$C:$E,3,FALSE)</f>
        <v>North America</v>
      </c>
      <c r="E176" s="2">
        <v>47.656999999999996</v>
      </c>
      <c r="F176" s="2">
        <v>47.606000000000002</v>
      </c>
      <c r="G176" s="2">
        <v>47.642000000000003</v>
      </c>
      <c r="H176" s="2">
        <v>46.881999999999998</v>
      </c>
      <c r="I176" s="2">
        <v>48.247</v>
      </c>
      <c r="J176" s="2">
        <v>47.79</v>
      </c>
      <c r="K176" s="2">
        <v>47.402999999999999</v>
      </c>
      <c r="L176" s="2">
        <v>45.460999999999999</v>
      </c>
      <c r="M176" s="2">
        <v>40.636000000000003</v>
      </c>
      <c r="N176" s="2">
        <v>43.097000000000001</v>
      </c>
      <c r="O176" s="10">
        <v>44.968000000000004</v>
      </c>
      <c r="P176" s="2">
        <v>261</v>
      </c>
      <c r="Q176" s="12">
        <v>260</v>
      </c>
      <c r="R176" s="2">
        <v>183.2962</v>
      </c>
      <c r="S176" s="2">
        <v>1.0011000000000001</v>
      </c>
      <c r="T176" s="4">
        <v>0</v>
      </c>
      <c r="W176" t="s">
        <v>462</v>
      </c>
      <c r="X176" s="6">
        <v>16.689</v>
      </c>
      <c r="Y176" s="6">
        <v>17.919</v>
      </c>
      <c r="Z176" s="6">
        <v>18.055</v>
      </c>
      <c r="AA176" s="6">
        <v>18.024000000000001</v>
      </c>
      <c r="AB176" s="6">
        <v>17.794</v>
      </c>
      <c r="AC176" s="6">
        <v>18.54</v>
      </c>
    </row>
    <row r="177" spans="1:29" x14ac:dyDescent="0.25">
      <c r="A177" s="2">
        <v>190</v>
      </c>
      <c r="B177" s="2" t="s">
        <v>397</v>
      </c>
      <c r="C177" s="2" t="s">
        <v>398</v>
      </c>
      <c r="D177" s="2" t="str">
        <f>VLOOKUP(C177,[2]world_pop.!$C:$E,3,FALSE)</f>
        <v>North America</v>
      </c>
      <c r="E177" s="2">
        <v>179.857</v>
      </c>
      <c r="F177" s="2">
        <v>179.65100000000001</v>
      </c>
      <c r="G177" s="2">
        <v>179.23699999999999</v>
      </c>
      <c r="H177" s="2">
        <v>177.85599999999999</v>
      </c>
      <c r="I177" s="2">
        <v>183.274</v>
      </c>
      <c r="J177" s="2">
        <v>175.62299999999999</v>
      </c>
      <c r="K177" s="2">
        <v>170.935</v>
      </c>
      <c r="L177" s="2">
        <v>159.5</v>
      </c>
      <c r="M177" s="2">
        <v>142.30099999999999</v>
      </c>
      <c r="N177" s="2">
        <v>121.633</v>
      </c>
      <c r="O177" s="10">
        <v>103.09</v>
      </c>
      <c r="P177" s="2">
        <v>616</v>
      </c>
      <c r="Q177" s="12">
        <v>610</v>
      </c>
      <c r="R177" s="2">
        <v>294.84750000000003</v>
      </c>
      <c r="S177" s="2">
        <v>1.0011000000000001</v>
      </c>
      <c r="T177" s="4">
        <v>0</v>
      </c>
      <c r="W177" t="s">
        <v>262</v>
      </c>
      <c r="X177" s="6">
        <v>8861.7469999999994</v>
      </c>
      <c r="Y177" s="6">
        <v>6256.9489999999996</v>
      </c>
      <c r="Z177" s="6">
        <v>5250.0720000000001</v>
      </c>
      <c r="AA177" s="6">
        <v>5133.3919999999998</v>
      </c>
      <c r="AB177" s="6">
        <v>4484.6139999999996</v>
      </c>
      <c r="AC177" s="6">
        <v>3992.2779999999998</v>
      </c>
    </row>
    <row r="178" spans="1:29" x14ac:dyDescent="0.25">
      <c r="A178" s="2">
        <v>220</v>
      </c>
      <c r="B178" s="2" t="s">
        <v>457</v>
      </c>
      <c r="C178" s="2" t="s">
        <v>458</v>
      </c>
      <c r="D178" s="2" t="str">
        <f>VLOOKUP(C178,[2]world_pop.!$C:$E,3,FALSE)</f>
        <v>North America</v>
      </c>
      <c r="E178" s="2">
        <v>31.791</v>
      </c>
      <c r="F178" s="2">
        <v>31.948</v>
      </c>
      <c r="G178" s="2">
        <v>32.552999999999997</v>
      </c>
      <c r="H178" s="2">
        <v>35.453000000000003</v>
      </c>
      <c r="I178" s="2">
        <v>33.508000000000003</v>
      </c>
      <c r="J178" s="2">
        <v>35.020000000000003</v>
      </c>
      <c r="K178" s="2">
        <v>36.457999999999998</v>
      </c>
      <c r="L178" s="2">
        <v>29.61</v>
      </c>
      <c r="M178" s="2">
        <v>28.126999999999999</v>
      </c>
      <c r="N178" s="2">
        <v>7.7759999999999998</v>
      </c>
      <c r="O178" s="10">
        <v>5.8019999999999996</v>
      </c>
      <c r="P178" s="2">
        <v>53</v>
      </c>
      <c r="Q178" s="12">
        <v>50</v>
      </c>
      <c r="R178" s="2">
        <v>635.82000000000005</v>
      </c>
      <c r="S178" s="2">
        <v>0.99509999999999998</v>
      </c>
      <c r="T178" s="4">
        <v>0</v>
      </c>
      <c r="W178" t="s">
        <v>274</v>
      </c>
      <c r="X178" s="6">
        <v>5736.1210000000001</v>
      </c>
      <c r="Y178" s="6">
        <v>4864.1260000000002</v>
      </c>
      <c r="Z178" s="6">
        <v>4408.5810000000001</v>
      </c>
      <c r="AA178" s="6">
        <v>4351.2669999999998</v>
      </c>
      <c r="AB178" s="6">
        <v>3957.0990000000002</v>
      </c>
      <c r="AC178" s="6">
        <v>3623.6170000000002</v>
      </c>
    </row>
    <row r="179" spans="1:29" x14ac:dyDescent="0.25">
      <c r="A179" s="2">
        <v>229</v>
      </c>
      <c r="B179" s="2" t="s">
        <v>475</v>
      </c>
      <c r="C179" s="2" t="s">
        <v>476</v>
      </c>
      <c r="D179" s="2" t="str">
        <f>VLOOKUP(C179,[2]world_pop.!$C:$E,3,FALSE)</f>
        <v>North America</v>
      </c>
      <c r="E179" s="2">
        <v>5.8620000000000001</v>
      </c>
      <c r="F179" s="2">
        <v>5.883</v>
      </c>
      <c r="G179" s="2">
        <v>5.9059999999999997</v>
      </c>
      <c r="H179" s="2">
        <v>5.165</v>
      </c>
      <c r="I179" s="2">
        <v>5.6509999999999998</v>
      </c>
      <c r="J179" s="2">
        <v>5.9779999999999998</v>
      </c>
      <c r="K179" s="2">
        <v>6.0519999999999996</v>
      </c>
      <c r="L179" s="2">
        <v>6.274</v>
      </c>
      <c r="M179" s="2">
        <v>6.3239999999999998</v>
      </c>
      <c r="N179" s="2">
        <v>6.1059999999999999</v>
      </c>
      <c r="O179" s="10">
        <v>5.5369999999999999</v>
      </c>
      <c r="P179" s="2">
        <v>242</v>
      </c>
      <c r="Q179" s="12">
        <v>242</v>
      </c>
      <c r="R179" s="2">
        <v>24.223099999999999</v>
      </c>
      <c r="S179" s="2">
        <v>0.99639999999999995</v>
      </c>
      <c r="T179" s="4">
        <v>0</v>
      </c>
      <c r="W179" t="s">
        <v>204</v>
      </c>
      <c r="X179" s="6">
        <v>14910.369000000001</v>
      </c>
      <c r="Y179" s="6">
        <v>11615.322</v>
      </c>
      <c r="Z179" s="6">
        <v>10142.619000000001</v>
      </c>
      <c r="AA179" s="6">
        <v>9949.4369999999999</v>
      </c>
      <c r="AB179" s="6">
        <v>8682.1740000000009</v>
      </c>
      <c r="AC179" s="6">
        <v>7583.2690000000002</v>
      </c>
    </row>
    <row r="180" spans="1:29" x14ac:dyDescent="0.25">
      <c r="A180" s="2">
        <v>199</v>
      </c>
      <c r="B180" s="2" t="s">
        <v>415</v>
      </c>
      <c r="C180" s="2" t="s">
        <v>416</v>
      </c>
      <c r="D180" s="2" t="str">
        <f>VLOOKUP(C180,[2]world_pop.!$C:$E,3,FALSE)</f>
        <v>North America</v>
      </c>
      <c r="E180" s="2">
        <v>103.94799999999999</v>
      </c>
      <c r="F180" s="2">
        <v>104.33199999999999</v>
      </c>
      <c r="G180" s="2">
        <v>104.63200000000001</v>
      </c>
      <c r="H180" s="2">
        <v>101.691</v>
      </c>
      <c r="I180" s="2">
        <v>104.322</v>
      </c>
      <c r="J180" s="2">
        <v>106.482</v>
      </c>
      <c r="K180" s="2">
        <v>109.30800000000001</v>
      </c>
      <c r="L180" s="2">
        <v>113.813</v>
      </c>
      <c r="M180" s="2">
        <v>112.48699999999999</v>
      </c>
      <c r="N180" s="2">
        <v>107.48</v>
      </c>
      <c r="O180" s="10">
        <v>98.459000000000003</v>
      </c>
      <c r="P180" s="2">
        <v>389</v>
      </c>
      <c r="Q180" s="12">
        <v>390</v>
      </c>
      <c r="R180" s="2">
        <v>266.5333</v>
      </c>
      <c r="S180" s="2">
        <v>0.99629999999999996</v>
      </c>
      <c r="T180" s="4">
        <v>0</v>
      </c>
      <c r="W180" t="s">
        <v>236</v>
      </c>
      <c r="X180" s="6">
        <v>8591.4860000000008</v>
      </c>
      <c r="Y180" s="6">
        <v>7425.4480000000003</v>
      </c>
      <c r="Z180" s="6">
        <v>6780.7439999999997</v>
      </c>
      <c r="AA180" s="6">
        <v>6703.799</v>
      </c>
      <c r="AB180" s="6">
        <v>6177.95</v>
      </c>
      <c r="AC180" s="6">
        <v>5768.6130000000003</v>
      </c>
    </row>
    <row r="181" spans="1:29" x14ac:dyDescent="0.25">
      <c r="A181" s="2">
        <v>188</v>
      </c>
      <c r="B181" s="2" t="s">
        <v>393</v>
      </c>
      <c r="C181" s="2" t="s">
        <v>394</v>
      </c>
      <c r="D181" s="2" t="str">
        <f>VLOOKUP(C181,[2]world_pop.!$C:$E,3,FALSE)</f>
        <v>Oceania</v>
      </c>
      <c r="E181" s="2">
        <v>222.38200000000001</v>
      </c>
      <c r="F181" s="2">
        <v>218.76400000000001</v>
      </c>
      <c r="G181" s="2">
        <v>214.929</v>
      </c>
      <c r="H181" s="2">
        <v>320.01600000000002</v>
      </c>
      <c r="I181" s="2">
        <v>248.62700000000001</v>
      </c>
      <c r="J181" s="2">
        <v>203.571</v>
      </c>
      <c r="K181" s="2">
        <v>194.672</v>
      </c>
      <c r="L181" s="2">
        <v>184.00800000000001</v>
      </c>
      <c r="M181" s="2">
        <v>168.18600000000001</v>
      </c>
      <c r="N181" s="2">
        <v>164.905</v>
      </c>
      <c r="O181" s="10">
        <v>142.77099999999999</v>
      </c>
      <c r="P181" s="2">
        <v>2842</v>
      </c>
      <c r="Q181" s="12">
        <v>2780</v>
      </c>
      <c r="R181" s="2">
        <v>79.993499999999997</v>
      </c>
      <c r="S181" s="2">
        <v>1.0165</v>
      </c>
      <c r="T181" s="4">
        <v>0</v>
      </c>
      <c r="W181" t="s">
        <v>106</v>
      </c>
      <c r="X181" s="6">
        <v>42022.553999999996</v>
      </c>
      <c r="Y181" s="6">
        <v>36702.392999999996</v>
      </c>
      <c r="Z181" s="6">
        <v>34049.588000000003</v>
      </c>
      <c r="AA181" s="6">
        <v>33715.470999999998</v>
      </c>
      <c r="AB181" s="6">
        <v>30711.863000000001</v>
      </c>
      <c r="AC181" s="6">
        <v>29229.572</v>
      </c>
    </row>
    <row r="182" spans="1:29" x14ac:dyDescent="0.25">
      <c r="A182" s="2">
        <v>218</v>
      </c>
      <c r="B182" s="2" t="s">
        <v>453</v>
      </c>
      <c r="C182" s="2" t="s">
        <v>454</v>
      </c>
      <c r="D182" s="2" t="str">
        <f>VLOOKUP(C182,[2]world_pop.!$C:$E,3,FALSE)</f>
        <v>Europe</v>
      </c>
      <c r="E182" s="2">
        <v>33.659999999999997</v>
      </c>
      <c r="F182" s="2">
        <v>33.744999999999997</v>
      </c>
      <c r="G182" s="2">
        <v>34.006999999999998</v>
      </c>
      <c r="H182" s="2">
        <v>32.043999999999997</v>
      </c>
      <c r="I182" s="2">
        <v>33.457999999999998</v>
      </c>
      <c r="J182" s="2">
        <v>33.57</v>
      </c>
      <c r="K182" s="2">
        <v>31.608000000000001</v>
      </c>
      <c r="L182" s="2">
        <v>26.823</v>
      </c>
      <c r="M182" s="2">
        <v>23.132000000000001</v>
      </c>
      <c r="N182" s="2">
        <v>21.346</v>
      </c>
      <c r="O182" s="10">
        <v>18.169</v>
      </c>
      <c r="P182" s="2">
        <v>61</v>
      </c>
      <c r="Q182" s="12">
        <v>60</v>
      </c>
      <c r="R182" s="2">
        <v>561</v>
      </c>
      <c r="S182" s="2">
        <v>0.99750000000000005</v>
      </c>
      <c r="T182" s="4">
        <v>0</v>
      </c>
      <c r="W182" t="s">
        <v>44</v>
      </c>
      <c r="X182" s="6">
        <v>157891.622</v>
      </c>
      <c r="Y182" s="6">
        <v>129453.321</v>
      </c>
      <c r="Z182" s="6">
        <v>115559.00900000001</v>
      </c>
      <c r="AA182" s="6">
        <v>113880.32799999999</v>
      </c>
      <c r="AB182" s="6">
        <v>103031.36500000001</v>
      </c>
      <c r="AC182" s="6">
        <v>94636.7</v>
      </c>
    </row>
    <row r="183" spans="1:29" x14ac:dyDescent="0.25">
      <c r="A183" s="2">
        <v>187</v>
      </c>
      <c r="B183" s="2" t="s">
        <v>391</v>
      </c>
      <c r="C183" s="2" t="s">
        <v>392</v>
      </c>
      <c r="D183" s="2" t="str">
        <f>VLOOKUP(C183,[2]world_pop.!$C:$E,3,FALSE)</f>
        <v>Africa</v>
      </c>
      <c r="E183" s="2">
        <v>227.38</v>
      </c>
      <c r="F183" s="2">
        <v>223.107</v>
      </c>
      <c r="G183" s="2">
        <v>218.64099999999999</v>
      </c>
      <c r="H183" s="2">
        <v>366.66300000000001</v>
      </c>
      <c r="I183" s="2">
        <v>265.036</v>
      </c>
      <c r="J183" s="2">
        <v>201.124</v>
      </c>
      <c r="K183" s="2">
        <v>182.13800000000001</v>
      </c>
      <c r="L183" s="2">
        <v>143.714</v>
      </c>
      <c r="M183" s="2">
        <v>120.343</v>
      </c>
      <c r="N183" s="2">
        <v>97.21</v>
      </c>
      <c r="O183" s="10">
        <v>77.582999999999998</v>
      </c>
      <c r="P183" s="2">
        <v>964</v>
      </c>
      <c r="Q183" s="12">
        <v>960</v>
      </c>
      <c r="R183" s="2">
        <v>236.85419999999999</v>
      </c>
      <c r="S183" s="2">
        <v>1.0192000000000001</v>
      </c>
      <c r="T183" s="4">
        <v>0</v>
      </c>
      <c r="W183" t="s">
        <v>92</v>
      </c>
      <c r="X183" s="6">
        <v>34932.339</v>
      </c>
      <c r="Y183" s="6">
        <v>38700.517999999996</v>
      </c>
      <c r="Z183" s="6">
        <v>39857.144999999997</v>
      </c>
      <c r="AA183" s="6">
        <v>38307.726000000002</v>
      </c>
      <c r="AB183" s="6">
        <v>38553.146000000001</v>
      </c>
      <c r="AC183" s="6">
        <v>38597.353000000003</v>
      </c>
    </row>
    <row r="184" spans="1:29" x14ac:dyDescent="0.25">
      <c r="A184" s="2">
        <v>41</v>
      </c>
      <c r="B184" s="2" t="s">
        <v>99</v>
      </c>
      <c r="C184" s="2" t="s">
        <v>100</v>
      </c>
      <c r="D184" s="2" t="str">
        <f>VLOOKUP(C184,[2]world_pop.!$C:$E,3,FALSE)</f>
        <v>Asia</v>
      </c>
      <c r="E184" s="2">
        <v>36408.82</v>
      </c>
      <c r="F184" s="2">
        <v>35950.396000000001</v>
      </c>
      <c r="G184" s="2">
        <v>35997.107000000004</v>
      </c>
      <c r="H184" s="2">
        <v>48374.542999999998</v>
      </c>
      <c r="I184" s="2">
        <v>40461.368000000002</v>
      </c>
      <c r="J184" s="2">
        <v>32749.848000000002</v>
      </c>
      <c r="K184" s="2">
        <v>29411.929</v>
      </c>
      <c r="L184" s="2">
        <v>21547.39</v>
      </c>
      <c r="M184" s="2">
        <v>16004.763000000001</v>
      </c>
      <c r="N184" s="2">
        <v>10171.709999999999</v>
      </c>
      <c r="O184" s="10">
        <v>6106.1909999999998</v>
      </c>
      <c r="P184" s="2">
        <v>2149690</v>
      </c>
      <c r="Q184" s="12">
        <v>2149690</v>
      </c>
      <c r="R184" s="2">
        <v>16.936800000000002</v>
      </c>
      <c r="S184" s="2">
        <v>1.0127999999999999</v>
      </c>
      <c r="T184" s="4">
        <v>4.5999999999999999E-3</v>
      </c>
      <c r="W184" t="s">
        <v>202</v>
      </c>
      <c r="X184" s="6">
        <v>9261.3050000000003</v>
      </c>
      <c r="Y184" s="6">
        <v>10062.183000000001</v>
      </c>
      <c r="Z184" s="6">
        <v>10270.865</v>
      </c>
      <c r="AA184" s="6">
        <v>10290.102999999999</v>
      </c>
      <c r="AB184" s="6">
        <v>10365.434999999999</v>
      </c>
      <c r="AC184" s="6">
        <v>10588.401</v>
      </c>
    </row>
    <row r="185" spans="1:29" x14ac:dyDescent="0.25">
      <c r="A185" s="2">
        <v>72</v>
      </c>
      <c r="B185" s="2" t="s">
        <v>161</v>
      </c>
      <c r="C185" s="2" t="s">
        <v>162</v>
      </c>
      <c r="D185" s="2" t="str">
        <f>VLOOKUP(C185,[2]world_pop.!$C:$E,3,FALSE)</f>
        <v>Africa</v>
      </c>
      <c r="E185" s="2">
        <v>17316.449000000001</v>
      </c>
      <c r="F185" s="2">
        <v>16876.72</v>
      </c>
      <c r="G185" s="2">
        <v>16436.12</v>
      </c>
      <c r="H185" s="2">
        <v>32562.868999999999</v>
      </c>
      <c r="I185" s="2">
        <v>21125.871999999999</v>
      </c>
      <c r="J185" s="2">
        <v>14356.181</v>
      </c>
      <c r="K185" s="2">
        <v>12530.120999999999</v>
      </c>
      <c r="L185" s="2">
        <v>9704.2870000000003</v>
      </c>
      <c r="M185" s="2">
        <v>7536.0010000000002</v>
      </c>
      <c r="N185" s="2">
        <v>5703.8689999999997</v>
      </c>
      <c r="O185" s="10">
        <v>4367.7439999999997</v>
      </c>
      <c r="P185" s="2">
        <v>196722</v>
      </c>
      <c r="Q185" s="12">
        <v>192530</v>
      </c>
      <c r="R185" s="2">
        <v>89.941599999999994</v>
      </c>
      <c r="S185" s="2">
        <v>1.0261</v>
      </c>
      <c r="T185" s="4">
        <v>2.2000000000000001E-3</v>
      </c>
      <c r="W185" t="s">
        <v>290</v>
      </c>
      <c r="X185" s="6">
        <v>2727.6239999999998</v>
      </c>
      <c r="Y185" s="6">
        <v>3259.7220000000002</v>
      </c>
      <c r="Z185" s="6">
        <v>3252.4070000000002</v>
      </c>
      <c r="AA185" s="6">
        <v>3256.0279999999998</v>
      </c>
      <c r="AB185" s="6">
        <v>3497.335</v>
      </c>
      <c r="AC185" s="6">
        <v>3717.922</v>
      </c>
    </row>
    <row r="186" spans="1:29" x14ac:dyDescent="0.25">
      <c r="A186" s="2">
        <v>105</v>
      </c>
      <c r="B186" s="2" t="s">
        <v>227</v>
      </c>
      <c r="C186" s="2" t="s">
        <v>228</v>
      </c>
      <c r="D186" s="2" t="str">
        <f>VLOOKUP(C186,[2]world_pop.!$C:$E,3,FALSE)</f>
        <v>Europe</v>
      </c>
      <c r="E186" s="2">
        <v>7221.3649999999998</v>
      </c>
      <c r="F186" s="2">
        <v>7296.7690000000002</v>
      </c>
      <c r="G186" s="2">
        <v>7358.0050000000001</v>
      </c>
      <c r="H186" s="2">
        <v>5777.8059999999996</v>
      </c>
      <c r="I186" s="2">
        <v>6832.6040000000003</v>
      </c>
      <c r="J186" s="2">
        <v>7519.4960000000001</v>
      </c>
      <c r="K186" s="2">
        <v>7653.7479999999996</v>
      </c>
      <c r="L186" s="2">
        <v>7935.0219999999999</v>
      </c>
      <c r="M186" s="2">
        <v>7987.5290000000005</v>
      </c>
      <c r="N186" s="2">
        <v>7777.01</v>
      </c>
      <c r="O186" s="10">
        <v>7193.5330000000004</v>
      </c>
      <c r="P186" s="2">
        <v>88361</v>
      </c>
      <c r="Q186" s="12">
        <v>87460</v>
      </c>
      <c r="R186" s="2">
        <v>82.567599999999999</v>
      </c>
      <c r="S186" s="2">
        <v>0.98970000000000002</v>
      </c>
      <c r="T186" s="4">
        <v>8.9999999999999998E-4</v>
      </c>
      <c r="W186" t="s">
        <v>304</v>
      </c>
      <c r="X186" s="6">
        <v>3358.4540000000002</v>
      </c>
      <c r="Y186" s="6">
        <v>2855.2910000000002</v>
      </c>
      <c r="Z186" s="6">
        <v>2695.1219999999998</v>
      </c>
      <c r="AA186" s="6">
        <v>2688.2350000000001</v>
      </c>
      <c r="AB186" s="6">
        <v>2414.5729999999999</v>
      </c>
      <c r="AC186" s="6">
        <v>1713.5039999999999</v>
      </c>
    </row>
    <row r="187" spans="1:29" x14ac:dyDescent="0.25">
      <c r="A187" s="2">
        <v>196</v>
      </c>
      <c r="B187" s="2" t="s">
        <v>409</v>
      </c>
      <c r="C187" s="2" t="s">
        <v>410</v>
      </c>
      <c r="D187" s="2" t="str">
        <f>VLOOKUP(C187,[2]world_pop.!$C:$E,3,FALSE)</f>
        <v>Africa</v>
      </c>
      <c r="E187" s="2">
        <v>107.11799999999999</v>
      </c>
      <c r="F187" s="2">
        <v>106.471</v>
      </c>
      <c r="G187" s="2">
        <v>105.53</v>
      </c>
      <c r="H187" s="2">
        <v>116.64400000000001</v>
      </c>
      <c r="I187" s="2">
        <v>111.31699999999999</v>
      </c>
      <c r="J187" s="2">
        <v>99.24</v>
      </c>
      <c r="K187" s="2">
        <v>92.409000000000006</v>
      </c>
      <c r="L187" s="2">
        <v>80.06</v>
      </c>
      <c r="M187" s="2">
        <v>71.057000000000002</v>
      </c>
      <c r="N187" s="2">
        <v>65.290000000000006</v>
      </c>
      <c r="O187" s="10">
        <v>54.378999999999998</v>
      </c>
      <c r="P187" s="2">
        <v>452</v>
      </c>
      <c r="Q187" s="12">
        <v>460</v>
      </c>
      <c r="R187" s="2">
        <v>232.86519999999999</v>
      </c>
      <c r="S187" s="2">
        <v>1.0061</v>
      </c>
      <c r="T187" s="4">
        <v>0</v>
      </c>
      <c r="W187" t="s">
        <v>246</v>
      </c>
      <c r="X187" s="6">
        <v>10378.912</v>
      </c>
      <c r="Y187" s="6">
        <v>7114.9870000000001</v>
      </c>
      <c r="Z187" s="6">
        <v>5970.424</v>
      </c>
      <c r="AA187" s="6">
        <v>5835.8059999999996</v>
      </c>
      <c r="AB187" s="6">
        <v>5064.3860000000004</v>
      </c>
      <c r="AC187" s="6">
        <v>4437.884</v>
      </c>
    </row>
    <row r="188" spans="1:29" x14ac:dyDescent="0.25">
      <c r="A188" s="2">
        <v>102</v>
      </c>
      <c r="B188" s="2" t="s">
        <v>221</v>
      </c>
      <c r="C188" s="2" t="s">
        <v>222</v>
      </c>
      <c r="D188" s="2" t="str">
        <f>VLOOKUP(C188,[2]world_pop.!$C:$E,3,FALSE)</f>
        <v>Africa</v>
      </c>
      <c r="E188" s="2">
        <v>8605.7180000000008</v>
      </c>
      <c r="F188" s="2">
        <v>8420.6409999999996</v>
      </c>
      <c r="G188" s="2">
        <v>8233.9699999999993</v>
      </c>
      <c r="H188" s="2">
        <v>13595.022999999999</v>
      </c>
      <c r="I188" s="2">
        <v>10105.188</v>
      </c>
      <c r="J188" s="2">
        <v>7314.7730000000001</v>
      </c>
      <c r="K188" s="2">
        <v>6436.6980000000003</v>
      </c>
      <c r="L188" s="2">
        <v>4584.067</v>
      </c>
      <c r="M188" s="2">
        <v>4325.3879999999999</v>
      </c>
      <c r="N188" s="2">
        <v>3367.4769999999999</v>
      </c>
      <c r="O188" s="10">
        <v>2778.5569999999998</v>
      </c>
      <c r="P188" s="2">
        <v>71740</v>
      </c>
      <c r="Q188" s="12">
        <v>72180</v>
      </c>
      <c r="R188" s="2">
        <v>119.22580000000001</v>
      </c>
      <c r="S188" s="2">
        <v>1.022</v>
      </c>
      <c r="T188" s="4">
        <v>1.1000000000000001E-3</v>
      </c>
      <c r="W188" t="s">
        <v>340</v>
      </c>
      <c r="X188" s="6">
        <v>1127.252</v>
      </c>
      <c r="Y188" s="6">
        <v>1031.8219999999999</v>
      </c>
      <c r="Z188" s="6">
        <v>974.05200000000002</v>
      </c>
      <c r="AA188" s="6">
        <v>966.12900000000002</v>
      </c>
      <c r="AB188" s="6">
        <v>922.495</v>
      </c>
      <c r="AC188" s="6">
        <v>890.13</v>
      </c>
    </row>
    <row r="189" spans="1:29" x14ac:dyDescent="0.25">
      <c r="A189" s="2">
        <v>113</v>
      </c>
      <c r="B189" s="2" t="s">
        <v>243</v>
      </c>
      <c r="C189" s="2" t="s">
        <v>244</v>
      </c>
      <c r="D189" s="2" t="str">
        <f>VLOOKUP(C189,[2]world_pop.!$C:$E,3,FALSE)</f>
        <v>Asia</v>
      </c>
      <c r="E189" s="2">
        <v>5975.6890000000003</v>
      </c>
      <c r="F189" s="2">
        <v>5941.06</v>
      </c>
      <c r="G189" s="2">
        <v>5909.8689999999997</v>
      </c>
      <c r="H189" s="2">
        <v>6337.2349999999997</v>
      </c>
      <c r="I189" s="2">
        <v>6251.9880000000003</v>
      </c>
      <c r="J189" s="2">
        <v>5650.018</v>
      </c>
      <c r="K189" s="2">
        <v>5163.59</v>
      </c>
      <c r="L189" s="2">
        <v>4053.6019999999999</v>
      </c>
      <c r="M189" s="2">
        <v>3022.2089999999998</v>
      </c>
      <c r="N189" s="2">
        <v>2400.7289999999998</v>
      </c>
      <c r="O189" s="10">
        <v>2061.8310000000001</v>
      </c>
      <c r="P189" s="2">
        <v>710</v>
      </c>
      <c r="Q189" s="12">
        <v>718</v>
      </c>
      <c r="R189" s="2">
        <v>8322.6866000000009</v>
      </c>
      <c r="S189" s="2">
        <v>1.0058</v>
      </c>
      <c r="T189" s="4">
        <v>6.9999999999999999E-4</v>
      </c>
      <c r="W189" t="s">
        <v>146</v>
      </c>
      <c r="X189" s="6">
        <v>17457.213</v>
      </c>
      <c r="Y189" s="6">
        <v>19023.383000000002</v>
      </c>
      <c r="Z189" s="6">
        <v>19659.267</v>
      </c>
      <c r="AA189" s="6">
        <v>19328.560000000001</v>
      </c>
      <c r="AB189" s="6">
        <v>19906.079000000002</v>
      </c>
      <c r="AC189" s="6">
        <v>20335.210999999999</v>
      </c>
    </row>
    <row r="190" spans="1:29" x14ac:dyDescent="0.25">
      <c r="A190" s="2">
        <v>214</v>
      </c>
      <c r="B190" s="2" t="s">
        <v>445</v>
      </c>
      <c r="C190" s="2" t="s">
        <v>446</v>
      </c>
      <c r="D190" s="2" t="str">
        <f>VLOOKUP(C190,[2]world_pop.!$C:$E,3,FALSE)</f>
        <v>North America</v>
      </c>
      <c r="E190" s="2">
        <v>44.174999999999997</v>
      </c>
      <c r="F190" s="2">
        <v>44.042000000000002</v>
      </c>
      <c r="G190" s="2">
        <v>43.621000000000002</v>
      </c>
      <c r="H190" s="2">
        <v>38.947000000000003</v>
      </c>
      <c r="I190" s="2">
        <v>44.945999999999998</v>
      </c>
      <c r="J190" s="2">
        <v>40.204999999999998</v>
      </c>
      <c r="K190" s="2">
        <v>33.033999999999999</v>
      </c>
      <c r="L190" s="2">
        <v>30.489000000000001</v>
      </c>
      <c r="M190" s="2">
        <v>27.844999999999999</v>
      </c>
      <c r="N190" s="2">
        <v>12.243</v>
      </c>
      <c r="O190" s="10">
        <v>6.26</v>
      </c>
      <c r="P190" s="2">
        <v>34</v>
      </c>
      <c r="Q190" s="12">
        <v>34</v>
      </c>
      <c r="R190" s="2">
        <v>1299.2646999999999</v>
      </c>
      <c r="S190" s="2">
        <v>1.0029999999999999</v>
      </c>
      <c r="T190" s="4">
        <v>0</v>
      </c>
      <c r="W190" t="s">
        <v>36</v>
      </c>
      <c r="X190" s="6">
        <v>133133.035</v>
      </c>
      <c r="Y190" s="6">
        <v>141432.74100000001</v>
      </c>
      <c r="Z190" s="6">
        <v>144713.31400000001</v>
      </c>
      <c r="AA190" s="6">
        <v>145102.755</v>
      </c>
      <c r="AB190" s="6">
        <v>144668.389</v>
      </c>
      <c r="AC190" s="6">
        <v>143242.59899999999</v>
      </c>
    </row>
    <row r="191" spans="1:29" x14ac:dyDescent="0.25">
      <c r="A191" s="2">
        <v>116</v>
      </c>
      <c r="B191" s="2" t="s">
        <v>249</v>
      </c>
      <c r="C191" s="2" t="s">
        <v>250</v>
      </c>
      <c r="D191" s="2" t="str">
        <f>VLOOKUP(C191,[2]world_pop.!$C:$E,3,FALSE)</f>
        <v>Europe</v>
      </c>
      <c r="E191" s="2">
        <v>5643.4530000000004</v>
      </c>
      <c r="F191" s="2">
        <v>5447.6220000000003</v>
      </c>
      <c r="G191" s="2">
        <v>5456.6809999999996</v>
      </c>
      <c r="H191" s="2">
        <v>5186.9669999999996</v>
      </c>
      <c r="I191" s="2">
        <v>5555.1139999999996</v>
      </c>
      <c r="J191" s="2">
        <v>5424.4440000000004</v>
      </c>
      <c r="K191" s="2">
        <v>5396.424</v>
      </c>
      <c r="L191" s="2">
        <v>5376.69</v>
      </c>
      <c r="M191" s="2">
        <v>5261.3050000000003</v>
      </c>
      <c r="N191" s="2">
        <v>4973.8829999999998</v>
      </c>
      <c r="O191" s="10">
        <v>4522.8670000000002</v>
      </c>
      <c r="P191" s="2">
        <v>49037</v>
      </c>
      <c r="Q191" s="12">
        <v>49035</v>
      </c>
      <c r="R191" s="2">
        <v>115.0903</v>
      </c>
      <c r="S191" s="2">
        <v>1.0359</v>
      </c>
      <c r="T191" s="4">
        <v>6.9999999999999999E-4</v>
      </c>
      <c r="W191" t="s">
        <v>170</v>
      </c>
      <c r="X191" s="6">
        <v>23030.045999999998</v>
      </c>
      <c r="Y191" s="6">
        <v>16375.704</v>
      </c>
      <c r="Z191" s="6">
        <v>13776.698</v>
      </c>
      <c r="AA191" s="6">
        <v>13461.888000000001</v>
      </c>
      <c r="AB191" s="6">
        <v>11642.959000000001</v>
      </c>
      <c r="AC191" s="6">
        <v>10309.031000000001</v>
      </c>
    </row>
    <row r="192" spans="1:29" x14ac:dyDescent="0.25">
      <c r="A192" s="2">
        <v>148</v>
      </c>
      <c r="B192" s="2" t="s">
        <v>313</v>
      </c>
      <c r="C192" s="2" t="s">
        <v>314</v>
      </c>
      <c r="D192" s="2" t="str">
        <f>VLOOKUP(C192,[2]world_pop.!$C:$E,3,FALSE)</f>
        <v>Europe</v>
      </c>
      <c r="E192" s="2">
        <v>2119.8440000000001</v>
      </c>
      <c r="F192" s="2">
        <v>2119.41</v>
      </c>
      <c r="G192" s="2">
        <v>2117.6410000000001</v>
      </c>
      <c r="H192" s="2">
        <v>2003.258</v>
      </c>
      <c r="I192" s="2">
        <v>2105.9450000000002</v>
      </c>
      <c r="J192" s="2">
        <v>2080.8620000000001</v>
      </c>
      <c r="K192" s="2">
        <v>2057.2869999999998</v>
      </c>
      <c r="L192" s="2">
        <v>1984.3389999999999</v>
      </c>
      <c r="M192" s="2">
        <v>1986.0239999999999</v>
      </c>
      <c r="N192" s="2">
        <v>1901.57</v>
      </c>
      <c r="O192" s="10">
        <v>1741.2860000000001</v>
      </c>
      <c r="P192" s="2">
        <v>20273</v>
      </c>
      <c r="Q192" s="12">
        <v>20136.400000000001</v>
      </c>
      <c r="R192" s="2">
        <v>105.27419999999999</v>
      </c>
      <c r="S192" s="2">
        <v>1.0002</v>
      </c>
      <c r="T192" s="4">
        <v>2.9999999999999997E-4</v>
      </c>
      <c r="W192" t="s">
        <v>474</v>
      </c>
      <c r="X192" s="6">
        <v>10.210000000000001</v>
      </c>
      <c r="Y192" s="6">
        <v>11.113</v>
      </c>
      <c r="Z192" s="6">
        <v>10.967000000000001</v>
      </c>
      <c r="AA192" s="6">
        <v>10.861000000000001</v>
      </c>
      <c r="AB192" s="6">
        <v>9.6430000000000007</v>
      </c>
      <c r="AC192" s="6">
        <v>8.9879999999999995</v>
      </c>
    </row>
    <row r="193" spans="1:29" x14ac:dyDescent="0.25">
      <c r="A193" s="2">
        <v>166</v>
      </c>
      <c r="B193" s="2" t="s">
        <v>349</v>
      </c>
      <c r="C193" s="2" t="s">
        <v>350</v>
      </c>
      <c r="D193" s="2" t="str">
        <f>VLOOKUP(C193,[2]world_pop.!$C:$E,3,FALSE)</f>
        <v>Oceania</v>
      </c>
      <c r="E193" s="2">
        <v>724.27300000000002</v>
      </c>
      <c r="F193" s="2">
        <v>707.851</v>
      </c>
      <c r="G193" s="2">
        <v>691.19100000000003</v>
      </c>
      <c r="H193" s="2">
        <v>1225.4069999999999</v>
      </c>
      <c r="I193" s="2">
        <v>856.26400000000001</v>
      </c>
      <c r="J193" s="2">
        <v>612.66</v>
      </c>
      <c r="K193" s="2">
        <v>540.39400000000001</v>
      </c>
      <c r="L193" s="2">
        <v>429.97800000000001</v>
      </c>
      <c r="M193" s="2">
        <v>324.17099999999999</v>
      </c>
      <c r="N193" s="2">
        <v>233.66800000000001</v>
      </c>
      <c r="O193" s="10">
        <v>172.833</v>
      </c>
      <c r="P193" s="2">
        <v>28896</v>
      </c>
      <c r="Q193" s="12">
        <v>27990</v>
      </c>
      <c r="R193" s="2">
        <v>25.876100000000001</v>
      </c>
      <c r="S193" s="2">
        <v>1.0232000000000001</v>
      </c>
      <c r="T193" s="4">
        <v>1E-4</v>
      </c>
      <c r="W193" t="s">
        <v>440</v>
      </c>
      <c r="X193" s="6">
        <v>46.881999999999998</v>
      </c>
      <c r="Y193" s="6">
        <v>48.247</v>
      </c>
      <c r="Z193" s="6">
        <v>47.656999999999996</v>
      </c>
      <c r="AA193" s="6">
        <v>47.606000000000002</v>
      </c>
      <c r="AB193" s="6">
        <v>47.79</v>
      </c>
      <c r="AC193" s="6">
        <v>47.402999999999999</v>
      </c>
    </row>
    <row r="194" spans="1:29" x14ac:dyDescent="0.25">
      <c r="A194" s="2">
        <v>70</v>
      </c>
      <c r="B194" s="2" t="s">
        <v>157</v>
      </c>
      <c r="C194" s="2" t="s">
        <v>158</v>
      </c>
      <c r="D194" s="2" t="str">
        <f>VLOOKUP(C194,[2]world_pop.!$C:$E,3,FALSE)</f>
        <v>Africa</v>
      </c>
      <c r="E194" s="2">
        <v>17597.510999999999</v>
      </c>
      <c r="F194" s="2">
        <v>17065.580999999998</v>
      </c>
      <c r="G194" s="2">
        <v>16537.016</v>
      </c>
      <c r="H194" s="2">
        <v>36462.83</v>
      </c>
      <c r="I194" s="2">
        <v>22316.857</v>
      </c>
      <c r="J194" s="2">
        <v>13763.906000000001</v>
      </c>
      <c r="K194" s="2">
        <v>12026.648999999999</v>
      </c>
      <c r="L194" s="2">
        <v>8721.4650000000001</v>
      </c>
      <c r="M194" s="2">
        <v>6999.0959999999995</v>
      </c>
      <c r="N194" s="2">
        <v>5892.2240000000002</v>
      </c>
      <c r="O194" s="10">
        <v>3720.9769999999999</v>
      </c>
      <c r="P194" s="2">
        <v>637657</v>
      </c>
      <c r="Q194" s="12">
        <v>627340</v>
      </c>
      <c r="R194" s="2">
        <v>28.050999999999998</v>
      </c>
      <c r="S194" s="2">
        <v>1.0311999999999999</v>
      </c>
      <c r="T194" s="4">
        <v>2.2000000000000001E-3</v>
      </c>
      <c r="W194" t="s">
        <v>398</v>
      </c>
      <c r="X194" s="6">
        <v>177.85599999999999</v>
      </c>
      <c r="Y194" s="6">
        <v>183.274</v>
      </c>
      <c r="Z194" s="6">
        <v>179.857</v>
      </c>
      <c r="AA194" s="6">
        <v>179.65100000000001</v>
      </c>
      <c r="AB194" s="6">
        <v>175.62299999999999</v>
      </c>
      <c r="AC194" s="6">
        <v>170.935</v>
      </c>
    </row>
    <row r="195" spans="1:29" x14ac:dyDescent="0.25">
      <c r="A195" s="2">
        <v>24</v>
      </c>
      <c r="B195" s="2" t="s">
        <v>65</v>
      </c>
      <c r="C195" s="2" t="s">
        <v>66</v>
      </c>
      <c r="D195" s="2" t="str">
        <f>VLOOKUP(C195,[2]world_pop.!$C:$E,3,FALSE)</f>
        <v>Africa</v>
      </c>
      <c r="E195" s="2">
        <v>59893.885000000002</v>
      </c>
      <c r="F195" s="2">
        <v>59392.254999999997</v>
      </c>
      <c r="G195" s="2">
        <v>58801.927000000003</v>
      </c>
      <c r="H195" s="2">
        <v>73529.752999999997</v>
      </c>
      <c r="I195" s="2">
        <v>64659.277999999998</v>
      </c>
      <c r="J195" s="2">
        <v>55876.504000000001</v>
      </c>
      <c r="K195" s="2">
        <v>51784.921000000002</v>
      </c>
      <c r="L195" s="2">
        <v>46813.266000000003</v>
      </c>
      <c r="M195" s="2">
        <v>39877.57</v>
      </c>
      <c r="N195" s="2">
        <v>29463.548999999999</v>
      </c>
      <c r="O195" s="10">
        <v>22368.306</v>
      </c>
      <c r="P195" s="2">
        <v>1221037</v>
      </c>
      <c r="Q195" s="12">
        <v>1213090</v>
      </c>
      <c r="R195" s="2">
        <v>49.372999999999998</v>
      </c>
      <c r="S195" s="2">
        <v>1.0084</v>
      </c>
      <c r="T195" s="4">
        <v>7.4999999999999997E-3</v>
      </c>
      <c r="W195" t="s">
        <v>458</v>
      </c>
      <c r="X195" s="6">
        <v>35.453000000000003</v>
      </c>
      <c r="Y195" s="6">
        <v>33.508000000000003</v>
      </c>
      <c r="Z195" s="6">
        <v>31.791</v>
      </c>
      <c r="AA195" s="6">
        <v>31.948</v>
      </c>
      <c r="AB195" s="6">
        <v>35.020000000000003</v>
      </c>
      <c r="AC195" s="6">
        <v>36.457999999999998</v>
      </c>
    </row>
    <row r="196" spans="1:29" x14ac:dyDescent="0.25">
      <c r="A196" s="2">
        <v>29</v>
      </c>
      <c r="B196" s="2" t="s">
        <v>75</v>
      </c>
      <c r="C196" s="2" t="s">
        <v>76</v>
      </c>
      <c r="D196" s="2" t="str">
        <f>VLOOKUP(C196,[2]world_pop.!$C:$E,3,FALSE)</f>
        <v>Asia</v>
      </c>
      <c r="E196" s="2">
        <v>51815.81</v>
      </c>
      <c r="F196" s="2">
        <v>51830.139000000003</v>
      </c>
      <c r="G196" s="2">
        <v>51844.69</v>
      </c>
      <c r="H196" s="2">
        <v>45770.874000000003</v>
      </c>
      <c r="I196" s="2">
        <v>51290.214</v>
      </c>
      <c r="J196" s="2">
        <v>50994.400999999998</v>
      </c>
      <c r="K196" s="2">
        <v>48813.042000000001</v>
      </c>
      <c r="L196" s="2">
        <v>46788.591</v>
      </c>
      <c r="M196" s="2">
        <v>44120.038999999997</v>
      </c>
      <c r="N196" s="2">
        <v>38170.500999999997</v>
      </c>
      <c r="O196" s="10">
        <v>32601.143</v>
      </c>
      <c r="P196" s="2">
        <v>100210</v>
      </c>
      <c r="Q196" s="12">
        <v>97600</v>
      </c>
      <c r="R196" s="2">
        <v>530.89970000000005</v>
      </c>
      <c r="S196" s="2">
        <v>0.99970000000000003</v>
      </c>
      <c r="T196" s="4">
        <v>6.4999999999999997E-3</v>
      </c>
      <c r="W196" t="s">
        <v>476</v>
      </c>
      <c r="X196" s="6">
        <v>5.165</v>
      </c>
      <c r="Y196" s="6">
        <v>5.6509999999999998</v>
      </c>
      <c r="Z196" s="6">
        <v>5.8620000000000001</v>
      </c>
      <c r="AA196" s="6">
        <v>5.883</v>
      </c>
      <c r="AB196" s="6">
        <v>5.9779999999999998</v>
      </c>
      <c r="AC196" s="6">
        <v>6.0519999999999996</v>
      </c>
    </row>
    <row r="197" spans="1:29" x14ac:dyDescent="0.25">
      <c r="A197" s="2">
        <v>86</v>
      </c>
      <c r="B197" s="2" t="s">
        <v>189</v>
      </c>
      <c r="C197" s="2" t="s">
        <v>190</v>
      </c>
      <c r="D197" s="2" t="str">
        <f>VLOOKUP(C197,[2]world_pop.!$C:$E,3,FALSE)</f>
        <v>Africa</v>
      </c>
      <c r="E197" s="2">
        <v>10913.164000000001</v>
      </c>
      <c r="F197" s="2">
        <v>10748.272000000001</v>
      </c>
      <c r="G197" s="2">
        <v>10606.227000000001</v>
      </c>
      <c r="H197" s="2">
        <v>17460.846000000001</v>
      </c>
      <c r="I197" s="2">
        <v>12570.402</v>
      </c>
      <c r="J197" s="2">
        <v>11194.299000000001</v>
      </c>
      <c r="K197" s="2">
        <v>9714.4189999999999</v>
      </c>
      <c r="L197" s="2">
        <v>6114.44</v>
      </c>
      <c r="M197" s="2">
        <v>4750.817</v>
      </c>
      <c r="N197" s="2">
        <v>4192.0119999999997</v>
      </c>
      <c r="O197" s="10">
        <v>3342.41</v>
      </c>
      <c r="P197" s="2">
        <v>619745</v>
      </c>
      <c r="Q197" s="12">
        <v>631930</v>
      </c>
      <c r="R197" s="2">
        <v>17.269600000000001</v>
      </c>
      <c r="S197" s="2">
        <v>1.0153000000000001</v>
      </c>
      <c r="T197" s="4">
        <v>1.4E-3</v>
      </c>
      <c r="W197" t="s">
        <v>416</v>
      </c>
      <c r="X197" s="6">
        <v>101.691</v>
      </c>
      <c r="Y197" s="6">
        <v>104.322</v>
      </c>
      <c r="Z197" s="6">
        <v>103.94799999999999</v>
      </c>
      <c r="AA197" s="6">
        <v>104.33199999999999</v>
      </c>
      <c r="AB197" s="6">
        <v>106.482</v>
      </c>
      <c r="AC197" s="6">
        <v>109.30800000000001</v>
      </c>
    </row>
    <row r="198" spans="1:29" x14ac:dyDescent="0.25">
      <c r="A198" s="2">
        <v>30</v>
      </c>
      <c r="B198" s="2" t="s">
        <v>77</v>
      </c>
      <c r="C198" s="2" t="s">
        <v>78</v>
      </c>
      <c r="D198" s="2" t="str">
        <f>VLOOKUP(C198,[2]world_pop.!$C:$E,3,FALSE)</f>
        <v>Europe</v>
      </c>
      <c r="E198" s="2">
        <v>47558.63</v>
      </c>
      <c r="F198" s="2">
        <v>47486.934999999998</v>
      </c>
      <c r="G198" s="2">
        <v>47363.807000000001</v>
      </c>
      <c r="H198" s="2">
        <v>44219.565000000002</v>
      </c>
      <c r="I198" s="2">
        <v>47076.572999999997</v>
      </c>
      <c r="J198" s="2">
        <v>46431.341999999997</v>
      </c>
      <c r="K198" s="2">
        <v>46572.771999999997</v>
      </c>
      <c r="L198" s="2">
        <v>40741.650999999998</v>
      </c>
      <c r="M198" s="2">
        <v>38889.889000000003</v>
      </c>
      <c r="N198" s="2">
        <v>37491.665999999997</v>
      </c>
      <c r="O198" s="10">
        <v>33792.616999999998</v>
      </c>
      <c r="P198" s="2">
        <v>505992</v>
      </c>
      <c r="Q198" s="12">
        <v>499556.6</v>
      </c>
      <c r="R198" s="2">
        <v>95.201700000000002</v>
      </c>
      <c r="S198" s="2">
        <v>1.0015000000000001</v>
      </c>
      <c r="T198" s="4">
        <v>6.0000000000000001E-3</v>
      </c>
      <c r="W198" t="s">
        <v>394</v>
      </c>
      <c r="X198" s="6">
        <v>320.01600000000002</v>
      </c>
      <c r="Y198" s="6">
        <v>248.62700000000001</v>
      </c>
      <c r="Z198" s="6">
        <v>222.38200000000001</v>
      </c>
      <c r="AA198" s="6">
        <v>218.76400000000001</v>
      </c>
      <c r="AB198" s="6">
        <v>203.571</v>
      </c>
      <c r="AC198" s="6">
        <v>194.672</v>
      </c>
    </row>
    <row r="199" spans="1:29" x14ac:dyDescent="0.25">
      <c r="A199" s="2">
        <v>61</v>
      </c>
      <c r="B199" s="2" t="s">
        <v>139</v>
      </c>
      <c r="C199" s="2" t="s">
        <v>140</v>
      </c>
      <c r="D199" s="2" t="str">
        <f>VLOOKUP(C199,[2]world_pop.!$C:$E,3,FALSE)</f>
        <v>Asia</v>
      </c>
      <c r="E199" s="2">
        <v>21832.143</v>
      </c>
      <c r="F199" s="2">
        <v>21773.440999999999</v>
      </c>
      <c r="G199" s="2">
        <v>21715.079000000002</v>
      </c>
      <c r="H199" s="2">
        <v>21814.985000000001</v>
      </c>
      <c r="I199" s="2">
        <v>22186.97</v>
      </c>
      <c r="J199" s="2">
        <v>21336.697</v>
      </c>
      <c r="K199" s="2">
        <v>20668.557000000001</v>
      </c>
      <c r="L199" s="2">
        <v>18776.370999999999</v>
      </c>
      <c r="M199" s="2">
        <v>17204.094000000001</v>
      </c>
      <c r="N199" s="2">
        <v>14943.645</v>
      </c>
      <c r="O199" s="10">
        <v>12388.769</v>
      </c>
      <c r="P199" s="2">
        <v>65610</v>
      </c>
      <c r="Q199" s="12">
        <v>61860</v>
      </c>
      <c r="R199" s="2">
        <v>352.92829999999998</v>
      </c>
      <c r="S199" s="2">
        <v>1.0026999999999999</v>
      </c>
      <c r="T199" s="4">
        <v>2.7000000000000001E-3</v>
      </c>
      <c r="W199" t="s">
        <v>454</v>
      </c>
      <c r="X199" s="6">
        <v>32.043999999999997</v>
      </c>
      <c r="Y199" s="6">
        <v>33.457999999999998</v>
      </c>
      <c r="Z199" s="6">
        <v>33.659999999999997</v>
      </c>
      <c r="AA199" s="6">
        <v>33.744999999999997</v>
      </c>
      <c r="AB199" s="6">
        <v>33.57</v>
      </c>
      <c r="AC199" s="6">
        <v>31.608000000000001</v>
      </c>
    </row>
    <row r="200" spans="1:29" x14ac:dyDescent="0.25">
      <c r="A200" s="2">
        <v>32</v>
      </c>
      <c r="B200" s="2" t="s">
        <v>81</v>
      </c>
      <c r="C200" s="2" t="s">
        <v>82</v>
      </c>
      <c r="D200" s="2" t="str">
        <f>VLOOKUP(C200,[2]world_pop.!$C:$E,3,FALSE)</f>
        <v>Africa</v>
      </c>
      <c r="E200" s="2">
        <v>46874.203999999998</v>
      </c>
      <c r="F200" s="2">
        <v>45657.201999999997</v>
      </c>
      <c r="G200" s="2">
        <v>44440.485999999997</v>
      </c>
      <c r="H200" s="2">
        <v>84494.269</v>
      </c>
      <c r="I200" s="2">
        <v>56997.099000000002</v>
      </c>
      <c r="J200" s="2">
        <v>38171.178</v>
      </c>
      <c r="K200" s="2">
        <v>33739.932999999997</v>
      </c>
      <c r="L200" s="2">
        <v>26298.773000000001</v>
      </c>
      <c r="M200" s="2">
        <v>21090.885999999999</v>
      </c>
      <c r="N200" s="2">
        <v>16673.585999999999</v>
      </c>
      <c r="O200" s="10">
        <v>11305.206</v>
      </c>
      <c r="P200" s="2">
        <v>1886068</v>
      </c>
      <c r="Q200" s="12">
        <v>1868000</v>
      </c>
      <c r="R200" s="2">
        <v>25.093299999999999</v>
      </c>
      <c r="S200" s="2">
        <v>1.0266999999999999</v>
      </c>
      <c r="T200" s="4">
        <v>5.8999999999999999E-3</v>
      </c>
      <c r="W200" t="s">
        <v>392</v>
      </c>
      <c r="X200" s="6">
        <v>366.66300000000001</v>
      </c>
      <c r="Y200" s="6">
        <v>265.036</v>
      </c>
      <c r="Z200" s="6">
        <v>227.38</v>
      </c>
      <c r="AA200" s="6">
        <v>223.107</v>
      </c>
      <c r="AB200" s="6">
        <v>201.124</v>
      </c>
      <c r="AC200" s="6">
        <v>182.13800000000001</v>
      </c>
    </row>
    <row r="201" spans="1:29" x14ac:dyDescent="0.25">
      <c r="A201" s="2">
        <v>170</v>
      </c>
      <c r="B201" s="2" t="s">
        <v>357</v>
      </c>
      <c r="C201" s="2" t="s">
        <v>358</v>
      </c>
      <c r="D201" s="2" t="str">
        <f>VLOOKUP(C201,[2]world_pop.!$C:$E,3,FALSE)</f>
        <v>South America</v>
      </c>
      <c r="E201" s="2">
        <v>618.04</v>
      </c>
      <c r="F201" s="2">
        <v>612.98500000000001</v>
      </c>
      <c r="G201" s="2">
        <v>607.06500000000005</v>
      </c>
      <c r="H201" s="2">
        <v>725.51900000000001</v>
      </c>
      <c r="I201" s="2">
        <v>659.50800000000004</v>
      </c>
      <c r="J201" s="2">
        <v>575.47500000000002</v>
      </c>
      <c r="K201" s="2">
        <v>546.08000000000004</v>
      </c>
      <c r="L201" s="2">
        <v>478.99799999999999</v>
      </c>
      <c r="M201" s="2">
        <v>412.75599999999997</v>
      </c>
      <c r="N201" s="2">
        <v>375.11200000000002</v>
      </c>
      <c r="O201" s="10">
        <v>379.91800000000001</v>
      </c>
      <c r="P201" s="2">
        <v>163820</v>
      </c>
      <c r="Q201" s="12">
        <v>156000</v>
      </c>
      <c r="R201" s="2">
        <v>3.9618000000000002</v>
      </c>
      <c r="S201" s="2">
        <v>1.0082</v>
      </c>
      <c r="T201" s="4">
        <v>1E-4</v>
      </c>
      <c r="W201" t="s">
        <v>100</v>
      </c>
      <c r="X201" s="6">
        <v>48374.542999999998</v>
      </c>
      <c r="Y201" s="6">
        <v>40461.368000000002</v>
      </c>
      <c r="Z201" s="6">
        <v>36408.82</v>
      </c>
      <c r="AA201" s="6">
        <v>35950.396000000001</v>
      </c>
      <c r="AB201" s="6">
        <v>32749.848000000002</v>
      </c>
      <c r="AC201" s="6">
        <v>29411.929</v>
      </c>
    </row>
    <row r="202" spans="1:29" x14ac:dyDescent="0.25">
      <c r="A202" s="2">
        <v>87</v>
      </c>
      <c r="B202" s="2" t="s">
        <v>191</v>
      </c>
      <c r="C202" s="2" t="s">
        <v>192</v>
      </c>
      <c r="D202" s="2" t="str">
        <f>VLOOKUP(C202,[2]world_pop.!$C:$E,3,FALSE)</f>
        <v>Europe</v>
      </c>
      <c r="E202" s="2">
        <v>10549.347</v>
      </c>
      <c r="F202" s="2">
        <v>10467.097</v>
      </c>
      <c r="G202" s="2">
        <v>10368.968999999999</v>
      </c>
      <c r="H202" s="2">
        <v>11902.032999999999</v>
      </c>
      <c r="I202" s="2">
        <v>11007.227999999999</v>
      </c>
      <c r="J202" s="2">
        <v>9849.3490000000002</v>
      </c>
      <c r="K202" s="2">
        <v>9381.7289999999994</v>
      </c>
      <c r="L202" s="2">
        <v>8871.0429999999997</v>
      </c>
      <c r="M202" s="2">
        <v>8548.4060000000009</v>
      </c>
      <c r="N202" s="2">
        <v>8311.7630000000008</v>
      </c>
      <c r="O202" s="10">
        <v>8027.7020000000002</v>
      </c>
      <c r="P202" s="2">
        <v>450295</v>
      </c>
      <c r="Q202" s="12">
        <v>407283.5</v>
      </c>
      <c r="R202" s="2">
        <v>25.901700000000002</v>
      </c>
      <c r="S202" s="2">
        <v>1.0079</v>
      </c>
      <c r="T202" s="4">
        <v>1.2999999999999999E-3</v>
      </c>
      <c r="W202" t="s">
        <v>162</v>
      </c>
      <c r="X202" s="6">
        <v>32562.868999999999</v>
      </c>
      <c r="Y202" s="6">
        <v>21125.871999999999</v>
      </c>
      <c r="Z202" s="6">
        <v>17316.449000000001</v>
      </c>
      <c r="AA202" s="6">
        <v>16876.72</v>
      </c>
      <c r="AB202" s="6">
        <v>14356.181</v>
      </c>
      <c r="AC202" s="6">
        <v>12530.120999999999</v>
      </c>
    </row>
    <row r="203" spans="1:29" x14ac:dyDescent="0.25">
      <c r="A203" s="2">
        <v>101</v>
      </c>
      <c r="B203" s="2" t="s">
        <v>219</v>
      </c>
      <c r="C203" s="2" t="s">
        <v>220</v>
      </c>
      <c r="D203" s="2" t="str">
        <f>VLOOKUP(C203,[2]world_pop.!$C:$E,3,FALSE)</f>
        <v>Europe</v>
      </c>
      <c r="E203" s="2">
        <v>8740.4719999999998</v>
      </c>
      <c r="F203" s="2">
        <v>8691.4060000000009</v>
      </c>
      <c r="G203" s="2">
        <v>8638.6129999999994</v>
      </c>
      <c r="H203" s="2">
        <v>9753.7530000000006</v>
      </c>
      <c r="I203" s="2">
        <v>9143.6980000000003</v>
      </c>
      <c r="J203" s="2">
        <v>8281.732</v>
      </c>
      <c r="K203" s="2">
        <v>7822.4350000000004</v>
      </c>
      <c r="L203" s="2">
        <v>7182.0590000000002</v>
      </c>
      <c r="M203" s="2">
        <v>6711.6930000000002</v>
      </c>
      <c r="N203" s="2">
        <v>6319.1130000000003</v>
      </c>
      <c r="O203" s="10">
        <v>6181.2269999999999</v>
      </c>
      <c r="P203" s="2">
        <v>41284</v>
      </c>
      <c r="Q203" s="12">
        <v>39516</v>
      </c>
      <c r="R203" s="2">
        <v>221.18819999999999</v>
      </c>
      <c r="S203" s="2">
        <v>1.0056</v>
      </c>
      <c r="T203" s="4">
        <v>1.1000000000000001E-3</v>
      </c>
      <c r="W203" t="s">
        <v>228</v>
      </c>
      <c r="X203" s="6">
        <v>5777.8059999999996</v>
      </c>
      <c r="Y203" s="6">
        <v>6832.6040000000003</v>
      </c>
      <c r="Z203" s="6">
        <v>7221.3649999999998</v>
      </c>
      <c r="AA203" s="6">
        <v>7296.7690000000002</v>
      </c>
      <c r="AB203" s="6">
        <v>7519.4960000000001</v>
      </c>
      <c r="AC203" s="6">
        <v>7653.7479999999996</v>
      </c>
    </row>
    <row r="204" spans="1:29" x14ac:dyDescent="0.25">
      <c r="A204" s="2">
        <v>60</v>
      </c>
      <c r="B204" s="2" t="s">
        <v>137</v>
      </c>
      <c r="C204" s="2" t="s">
        <v>138</v>
      </c>
      <c r="D204" s="2" t="str">
        <f>VLOOKUP(C204,[2]world_pop.!$C:$E,3,FALSE)</f>
        <v>Asia</v>
      </c>
      <c r="E204" s="2">
        <v>22125.249</v>
      </c>
      <c r="F204" s="2">
        <v>21324.366999999998</v>
      </c>
      <c r="G204" s="2">
        <v>20772.595000000001</v>
      </c>
      <c r="H204" s="2">
        <v>38306.374000000003</v>
      </c>
      <c r="I204" s="2">
        <v>29824.735000000001</v>
      </c>
      <c r="J204" s="2">
        <v>19205.178</v>
      </c>
      <c r="K204" s="2">
        <v>22337.562999999998</v>
      </c>
      <c r="L204" s="2">
        <v>16307.654</v>
      </c>
      <c r="M204" s="2">
        <v>12408.995999999999</v>
      </c>
      <c r="N204" s="2">
        <v>8898.9539999999997</v>
      </c>
      <c r="O204" s="10">
        <v>6319.1989999999996</v>
      </c>
      <c r="P204" s="2">
        <v>185180</v>
      </c>
      <c r="Q204" s="12">
        <v>183630</v>
      </c>
      <c r="R204" s="2">
        <v>120.48820000000001</v>
      </c>
      <c r="S204" s="2">
        <v>1.0376000000000001</v>
      </c>
      <c r="T204" s="4">
        <v>2.8E-3</v>
      </c>
      <c r="W204" t="s">
        <v>410</v>
      </c>
      <c r="X204" s="6">
        <v>116.64400000000001</v>
      </c>
      <c r="Y204" s="6">
        <v>111.31699999999999</v>
      </c>
      <c r="Z204" s="6">
        <v>107.11799999999999</v>
      </c>
      <c r="AA204" s="6">
        <v>106.471</v>
      </c>
      <c r="AB204" s="6">
        <v>99.24</v>
      </c>
      <c r="AC204" s="6">
        <v>92.409000000000006</v>
      </c>
    </row>
    <row r="205" spans="1:29" x14ac:dyDescent="0.25">
      <c r="A205" s="2">
        <v>57</v>
      </c>
      <c r="B205" s="2" t="s">
        <v>131</v>
      </c>
      <c r="C205" s="2" t="s">
        <v>132</v>
      </c>
      <c r="D205" s="2" t="str">
        <f>VLOOKUP(C205,[2]world_pop.!$C:$E,3,FALSE)</f>
        <v>Asia</v>
      </c>
      <c r="E205" s="2">
        <v>23893.394</v>
      </c>
      <c r="F205" s="2">
        <v>23859.912</v>
      </c>
      <c r="G205" s="2">
        <v>23821.464</v>
      </c>
      <c r="H205" s="2">
        <v>22445.526000000002</v>
      </c>
      <c r="I205" s="2">
        <v>24027.999</v>
      </c>
      <c r="J205" s="2">
        <v>23512.135999999999</v>
      </c>
      <c r="K205" s="2">
        <v>23083.082999999999</v>
      </c>
      <c r="L205" s="2">
        <v>22194.731</v>
      </c>
      <c r="M205" s="2">
        <v>20586.173999999999</v>
      </c>
      <c r="N205" s="2">
        <v>18100.280999999999</v>
      </c>
      <c r="O205" s="10">
        <v>14957.87</v>
      </c>
      <c r="P205" s="2">
        <v>36193</v>
      </c>
      <c r="Q205" s="12">
        <v>36197</v>
      </c>
      <c r="R205" s="2">
        <v>660.09320000000002</v>
      </c>
      <c r="S205" s="2">
        <v>1.0014000000000001</v>
      </c>
      <c r="T205" s="4">
        <v>3.0000000000000001E-3</v>
      </c>
      <c r="W205" t="s">
        <v>222</v>
      </c>
      <c r="X205" s="6">
        <v>13595.022999999999</v>
      </c>
      <c r="Y205" s="6">
        <v>10105.188</v>
      </c>
      <c r="Z205" s="6">
        <v>8605.7180000000008</v>
      </c>
      <c r="AA205" s="6">
        <v>8420.6409999999996</v>
      </c>
      <c r="AB205" s="6">
        <v>7314.7730000000001</v>
      </c>
      <c r="AC205" s="6">
        <v>6436.6980000000003</v>
      </c>
    </row>
    <row r="206" spans="1:29" x14ac:dyDescent="0.25">
      <c r="A206" s="2">
        <v>95</v>
      </c>
      <c r="B206" s="2" t="s">
        <v>207</v>
      </c>
      <c r="C206" s="2" t="s">
        <v>208</v>
      </c>
      <c r="D206" s="2" t="str">
        <f>VLOOKUP(C206,[2]world_pop.!$C:$E,3,FALSE)</f>
        <v>Asia</v>
      </c>
      <c r="E206" s="2">
        <v>9952.7870000000003</v>
      </c>
      <c r="F206" s="2">
        <v>9750.0640000000003</v>
      </c>
      <c r="G206" s="2">
        <v>9543.2070000000003</v>
      </c>
      <c r="H206" s="2">
        <v>15200.989</v>
      </c>
      <c r="I206" s="2">
        <v>11421.43</v>
      </c>
      <c r="J206" s="2">
        <v>8524.0630000000001</v>
      </c>
      <c r="K206" s="2">
        <v>7621.7790000000005</v>
      </c>
      <c r="L206" s="2">
        <v>6272.9979999999996</v>
      </c>
      <c r="M206" s="2">
        <v>5417.86</v>
      </c>
      <c r="N206" s="2">
        <v>4045.9650000000001</v>
      </c>
      <c r="O206" s="10">
        <v>2993.0189999999998</v>
      </c>
      <c r="P206" s="2">
        <v>143100</v>
      </c>
      <c r="Q206" s="12">
        <v>138790</v>
      </c>
      <c r="R206" s="2">
        <v>71.711100000000002</v>
      </c>
      <c r="S206" s="2">
        <v>1.0207999999999999</v>
      </c>
      <c r="T206" s="4">
        <v>1.1999999999999999E-3</v>
      </c>
      <c r="W206" t="s">
        <v>244</v>
      </c>
      <c r="X206" s="6">
        <v>6337.2349999999997</v>
      </c>
      <c r="Y206" s="6">
        <v>6251.9880000000003</v>
      </c>
      <c r="Z206" s="6">
        <v>5975.6890000000003</v>
      </c>
      <c r="AA206" s="6">
        <v>5941.06</v>
      </c>
      <c r="AB206" s="6">
        <v>5650.018</v>
      </c>
      <c r="AC206" s="6">
        <v>5163.59</v>
      </c>
    </row>
    <row r="207" spans="1:29" x14ac:dyDescent="0.25">
      <c r="A207" s="2">
        <v>22</v>
      </c>
      <c r="B207" s="2" t="s">
        <v>61</v>
      </c>
      <c r="C207" s="2" t="s">
        <v>62</v>
      </c>
      <c r="D207" s="2" t="str">
        <f>VLOOKUP(C207,[2]world_pop.!$C:$E,3,FALSE)</f>
        <v>Africa</v>
      </c>
      <c r="E207" s="2">
        <v>65497.748</v>
      </c>
      <c r="F207" s="2">
        <v>63588.334000000003</v>
      </c>
      <c r="G207" s="2">
        <v>61704.517999999996</v>
      </c>
      <c r="H207" s="2">
        <v>129931.52</v>
      </c>
      <c r="I207" s="2">
        <v>81885.304000000004</v>
      </c>
      <c r="J207" s="2">
        <v>52542.822999999997</v>
      </c>
      <c r="K207" s="2">
        <v>45110.527000000002</v>
      </c>
      <c r="L207" s="2">
        <v>34463.703999999998</v>
      </c>
      <c r="M207" s="2">
        <v>26206.011999999999</v>
      </c>
      <c r="N207" s="2">
        <v>19297.659</v>
      </c>
      <c r="O207" s="10">
        <v>13618.191999999999</v>
      </c>
      <c r="P207" s="2">
        <v>945087</v>
      </c>
      <c r="Q207" s="12">
        <v>885800</v>
      </c>
      <c r="R207" s="2">
        <v>73.941900000000004</v>
      </c>
      <c r="S207" s="2">
        <v>1.03</v>
      </c>
      <c r="T207" s="4">
        <v>8.2000000000000007E-3</v>
      </c>
      <c r="W207" t="s">
        <v>446</v>
      </c>
      <c r="X207" s="6">
        <v>38.947000000000003</v>
      </c>
      <c r="Y207" s="6">
        <v>44.945999999999998</v>
      </c>
      <c r="Z207" s="6">
        <v>44.174999999999997</v>
      </c>
      <c r="AA207" s="6">
        <v>44.042000000000002</v>
      </c>
      <c r="AB207" s="6">
        <v>40.204999999999998</v>
      </c>
      <c r="AC207" s="6">
        <v>33.033999999999999</v>
      </c>
    </row>
    <row r="208" spans="1:29" x14ac:dyDescent="0.25">
      <c r="A208" s="2">
        <v>20</v>
      </c>
      <c r="B208" s="2" t="s">
        <v>57</v>
      </c>
      <c r="C208" s="2" t="s">
        <v>58</v>
      </c>
      <c r="D208" s="2" t="str">
        <f>VLOOKUP(C208,[2]world_pop.!$C:$E,3,FALSE)</f>
        <v>Asia</v>
      </c>
      <c r="E208" s="2">
        <v>71697.03</v>
      </c>
      <c r="F208" s="2">
        <v>71601.103000000003</v>
      </c>
      <c r="G208" s="2">
        <v>71475.664000000004</v>
      </c>
      <c r="H208" s="2">
        <v>67880.082999999999</v>
      </c>
      <c r="I208" s="2">
        <v>72060.017999999996</v>
      </c>
      <c r="J208" s="2">
        <v>70294.396999999997</v>
      </c>
      <c r="K208" s="2">
        <v>68270.489000000001</v>
      </c>
      <c r="L208" s="2">
        <v>63066.603000000003</v>
      </c>
      <c r="M208" s="2">
        <v>55228.41</v>
      </c>
      <c r="N208" s="2">
        <v>45737.752999999997</v>
      </c>
      <c r="O208" s="10">
        <v>35791.728000000003</v>
      </c>
      <c r="P208" s="2">
        <v>513120</v>
      </c>
      <c r="Q208" s="12">
        <v>510890</v>
      </c>
      <c r="R208" s="2">
        <v>140.33750000000001</v>
      </c>
      <c r="S208" s="2">
        <v>1.0013000000000001</v>
      </c>
      <c r="T208" s="4">
        <v>8.9999999999999993E-3</v>
      </c>
      <c r="W208" t="s">
        <v>250</v>
      </c>
      <c r="X208" s="6">
        <v>5186.9669999999996</v>
      </c>
      <c r="Y208" s="6">
        <v>5555.1139999999996</v>
      </c>
      <c r="Z208" s="6">
        <v>5643.4530000000004</v>
      </c>
      <c r="AA208" s="6">
        <v>5447.6220000000003</v>
      </c>
      <c r="AB208" s="6">
        <v>5424.4440000000004</v>
      </c>
      <c r="AC208" s="6">
        <v>5396.424</v>
      </c>
    </row>
    <row r="209" spans="1:29" x14ac:dyDescent="0.25">
      <c r="A209" s="2">
        <v>155</v>
      </c>
      <c r="B209" s="2" t="s">
        <v>327</v>
      </c>
      <c r="C209" s="2" t="s">
        <v>328</v>
      </c>
      <c r="D209" s="2" t="str">
        <f>VLOOKUP(C209,[2]world_pop.!$C:$E,3,FALSE)</f>
        <v>Asia</v>
      </c>
      <c r="E209" s="2">
        <v>1341.296</v>
      </c>
      <c r="F209" s="2">
        <v>1320.942</v>
      </c>
      <c r="G209" s="2">
        <v>1299.9949999999999</v>
      </c>
      <c r="H209" s="2">
        <v>1806.8689999999999</v>
      </c>
      <c r="I209" s="2">
        <v>1495.0809999999999</v>
      </c>
      <c r="J209" s="2">
        <v>1205.8130000000001</v>
      </c>
      <c r="K209" s="2">
        <v>1088.4860000000001</v>
      </c>
      <c r="L209" s="2">
        <v>878.36</v>
      </c>
      <c r="M209" s="2">
        <v>758.10599999999999</v>
      </c>
      <c r="N209" s="2">
        <v>642.22400000000005</v>
      </c>
      <c r="O209" s="10">
        <v>554.02099999999996</v>
      </c>
      <c r="P209" s="2">
        <v>14874</v>
      </c>
      <c r="Q209" s="12">
        <v>14870</v>
      </c>
      <c r="R209" s="2">
        <v>90.201499999999996</v>
      </c>
      <c r="S209" s="2">
        <v>1.0154000000000001</v>
      </c>
      <c r="T209" s="4">
        <v>2.0000000000000001E-4</v>
      </c>
      <c r="W209" t="s">
        <v>314</v>
      </c>
      <c r="X209" s="6">
        <v>2003.258</v>
      </c>
      <c r="Y209" s="6">
        <v>2105.9450000000002</v>
      </c>
      <c r="Z209" s="6">
        <v>2119.8440000000001</v>
      </c>
      <c r="AA209" s="6">
        <v>2119.41</v>
      </c>
      <c r="AB209" s="6">
        <v>2080.8620000000001</v>
      </c>
      <c r="AC209" s="6">
        <v>2057.2869999999998</v>
      </c>
    </row>
    <row r="210" spans="1:29" x14ac:dyDescent="0.25">
      <c r="A210" s="2">
        <v>100</v>
      </c>
      <c r="B210" s="2" t="s">
        <v>217</v>
      </c>
      <c r="C210" s="2" t="s">
        <v>218</v>
      </c>
      <c r="D210" s="2" t="str">
        <f>VLOOKUP(C210,[2]world_pop.!$C:$E,3,FALSE)</f>
        <v>Africa</v>
      </c>
      <c r="E210" s="2">
        <v>8848.6990000000005</v>
      </c>
      <c r="F210" s="2">
        <v>8644.8289999999997</v>
      </c>
      <c r="G210" s="2">
        <v>8442.58</v>
      </c>
      <c r="H210" s="2">
        <v>15478.883</v>
      </c>
      <c r="I210" s="2">
        <v>10558.178</v>
      </c>
      <c r="J210" s="2">
        <v>7473.2290000000003</v>
      </c>
      <c r="K210" s="2">
        <v>6571.8549999999996</v>
      </c>
      <c r="L210" s="2">
        <v>5008.0349999999999</v>
      </c>
      <c r="M210" s="2">
        <v>3875.9470000000001</v>
      </c>
      <c r="N210" s="2">
        <v>2838.11</v>
      </c>
      <c r="O210" s="10">
        <v>2197.3829999999998</v>
      </c>
      <c r="P210" s="2">
        <v>56785</v>
      </c>
      <c r="Q210" s="12">
        <v>54390</v>
      </c>
      <c r="R210" s="2">
        <v>162.68979999999999</v>
      </c>
      <c r="S210" s="2">
        <v>1.0236000000000001</v>
      </c>
      <c r="T210" s="4">
        <v>1.1000000000000001E-3</v>
      </c>
      <c r="W210" t="s">
        <v>350</v>
      </c>
      <c r="X210" s="6">
        <v>1225.4069999999999</v>
      </c>
      <c r="Y210" s="6">
        <v>856.26400000000001</v>
      </c>
      <c r="Z210" s="6">
        <v>724.27300000000002</v>
      </c>
      <c r="AA210" s="6">
        <v>707.851</v>
      </c>
      <c r="AB210" s="6">
        <v>612.66</v>
      </c>
      <c r="AC210" s="6">
        <v>540.39400000000001</v>
      </c>
    </row>
    <row r="211" spans="1:29" x14ac:dyDescent="0.25">
      <c r="A211" s="2">
        <v>233</v>
      </c>
      <c r="B211" s="2" t="s">
        <v>483</v>
      </c>
      <c r="C211" s="2" t="s">
        <v>484</v>
      </c>
      <c r="D211" s="2" t="str">
        <f>VLOOKUP(C211,[2]world_pop.!$C:$E,3,FALSE)</f>
        <v>Oceania</v>
      </c>
      <c r="E211" s="2">
        <v>1.871</v>
      </c>
      <c r="F211" s="2">
        <v>1.849</v>
      </c>
      <c r="G211" s="2">
        <v>1.827</v>
      </c>
      <c r="H211" s="2">
        <v>2.4300000000000002</v>
      </c>
      <c r="I211" s="2">
        <v>2.0459999999999998</v>
      </c>
      <c r="J211" s="2">
        <v>1.454</v>
      </c>
      <c r="K211" s="2">
        <v>1.367</v>
      </c>
      <c r="L211" s="2">
        <v>1.6659999999999999</v>
      </c>
      <c r="M211" s="2">
        <v>1.669</v>
      </c>
      <c r="N211" s="2">
        <v>1.647</v>
      </c>
      <c r="O211" s="10">
        <v>1.714</v>
      </c>
      <c r="P211" s="2">
        <v>12</v>
      </c>
      <c r="Q211" s="12">
        <v>10</v>
      </c>
      <c r="R211" s="2">
        <v>187.1</v>
      </c>
      <c r="S211" s="2">
        <v>1.0119</v>
      </c>
      <c r="T211" s="4">
        <v>0</v>
      </c>
      <c r="W211" t="s">
        <v>158</v>
      </c>
      <c r="X211" s="6">
        <v>36462.83</v>
      </c>
      <c r="Y211" s="6">
        <v>22316.857</v>
      </c>
      <c r="Z211" s="6">
        <v>17597.510999999999</v>
      </c>
      <c r="AA211" s="6">
        <v>17065.580999999998</v>
      </c>
      <c r="AB211" s="6">
        <v>13763.906000000001</v>
      </c>
      <c r="AC211" s="6">
        <v>12026.648999999999</v>
      </c>
    </row>
    <row r="212" spans="1:29" x14ac:dyDescent="0.25">
      <c r="A212" s="2">
        <v>197</v>
      </c>
      <c r="B212" s="2" t="s">
        <v>411</v>
      </c>
      <c r="C212" s="2" t="s">
        <v>412</v>
      </c>
      <c r="D212" s="2" t="str">
        <f>VLOOKUP(C212,[2]world_pop.!$C:$E,3,FALSE)</f>
        <v>Oceania</v>
      </c>
      <c r="E212" s="2">
        <v>106.858</v>
      </c>
      <c r="F212" s="2">
        <v>106.017</v>
      </c>
      <c r="G212" s="2">
        <v>105.254</v>
      </c>
      <c r="H212" s="2">
        <v>131.22499999999999</v>
      </c>
      <c r="I212" s="2">
        <v>114.124</v>
      </c>
      <c r="J212" s="2">
        <v>106.122</v>
      </c>
      <c r="K212" s="2">
        <v>107.383</v>
      </c>
      <c r="L212" s="2">
        <v>102.60299999999999</v>
      </c>
      <c r="M212" s="2">
        <v>98.727000000000004</v>
      </c>
      <c r="N212" s="2">
        <v>96.707999999999998</v>
      </c>
      <c r="O212" s="10">
        <v>86.483999999999995</v>
      </c>
      <c r="P212" s="2">
        <v>747</v>
      </c>
      <c r="Q212" s="12">
        <v>720</v>
      </c>
      <c r="R212" s="2">
        <v>148.41390000000001</v>
      </c>
      <c r="S212" s="2">
        <v>1.0079</v>
      </c>
      <c r="T212" s="4">
        <v>0</v>
      </c>
      <c r="W212" t="s">
        <v>66</v>
      </c>
      <c r="X212" s="6">
        <v>73529.752999999997</v>
      </c>
      <c r="Y212" s="6">
        <v>64659.277999999998</v>
      </c>
      <c r="Z212" s="6">
        <v>59893.885000000002</v>
      </c>
      <c r="AA212" s="6">
        <v>59392.254999999997</v>
      </c>
      <c r="AB212" s="6">
        <v>55876.504000000001</v>
      </c>
      <c r="AC212" s="6">
        <v>51784.921000000002</v>
      </c>
    </row>
    <row r="213" spans="1:29" x14ac:dyDescent="0.25">
      <c r="A213" s="2">
        <v>153</v>
      </c>
      <c r="B213" s="2" t="s">
        <v>323</v>
      </c>
      <c r="C213" s="2" t="s">
        <v>324</v>
      </c>
      <c r="D213" s="2" t="str">
        <f>VLOOKUP(C213,[2]world_pop.!$C:$E,3,FALSE)</f>
        <v>North America</v>
      </c>
      <c r="E213" s="2">
        <v>1531.0440000000001</v>
      </c>
      <c r="F213" s="2">
        <v>1525.663</v>
      </c>
      <c r="G213" s="2">
        <v>1518.1469999999999</v>
      </c>
      <c r="H213" s="2">
        <v>1485.1389999999999</v>
      </c>
      <c r="I213" s="2">
        <v>1547.69</v>
      </c>
      <c r="J213" s="2">
        <v>1460.1769999999999</v>
      </c>
      <c r="K213" s="2">
        <v>1410.296</v>
      </c>
      <c r="L213" s="2">
        <v>1332.203</v>
      </c>
      <c r="M213" s="2">
        <v>1266.518</v>
      </c>
      <c r="N213" s="2">
        <v>1127.8520000000001</v>
      </c>
      <c r="O213" s="10">
        <v>988.89</v>
      </c>
      <c r="P213" s="2">
        <v>5130</v>
      </c>
      <c r="Q213" s="12">
        <v>5130</v>
      </c>
      <c r="R213" s="2">
        <v>298.44909999999999</v>
      </c>
      <c r="S213" s="2">
        <v>1.0035000000000001</v>
      </c>
      <c r="T213" s="4">
        <v>2.0000000000000001E-4</v>
      </c>
      <c r="W213" t="s">
        <v>76</v>
      </c>
      <c r="X213" s="6">
        <v>45770.874000000003</v>
      </c>
      <c r="Y213" s="6">
        <v>51290.214</v>
      </c>
      <c r="Z213" s="6">
        <v>51815.81</v>
      </c>
      <c r="AA213" s="6">
        <v>51830.139000000003</v>
      </c>
      <c r="AB213" s="6">
        <v>50994.400999999998</v>
      </c>
      <c r="AC213" s="6">
        <v>48813.042000000001</v>
      </c>
    </row>
    <row r="214" spans="1:29" x14ac:dyDescent="0.25">
      <c r="A214" s="2">
        <v>79</v>
      </c>
      <c r="B214" s="2" t="s">
        <v>175</v>
      </c>
      <c r="C214" s="2" t="s">
        <v>176</v>
      </c>
      <c r="D214" s="2" t="str">
        <f>VLOOKUP(C214,[2]world_pop.!$C:$E,3,FALSE)</f>
        <v>Africa</v>
      </c>
      <c r="E214" s="2">
        <v>12356.117</v>
      </c>
      <c r="F214" s="2">
        <v>12262.946</v>
      </c>
      <c r="G214" s="2">
        <v>12161.723</v>
      </c>
      <c r="H214" s="2">
        <v>14315.779</v>
      </c>
      <c r="I214" s="2">
        <v>13100.768</v>
      </c>
      <c r="J214" s="2">
        <v>11557.779</v>
      </c>
      <c r="K214" s="2">
        <v>10895.063</v>
      </c>
      <c r="L214" s="2">
        <v>9893.3160000000007</v>
      </c>
      <c r="M214" s="2">
        <v>8440.0229999999992</v>
      </c>
      <c r="N214" s="2">
        <v>6578.1559999999999</v>
      </c>
      <c r="O214" s="10">
        <v>5047.4040000000005</v>
      </c>
      <c r="P214" s="2">
        <v>163610</v>
      </c>
      <c r="Q214" s="12">
        <v>155360</v>
      </c>
      <c r="R214" s="2">
        <v>79.532200000000003</v>
      </c>
      <c r="S214" s="2">
        <v>1.0076000000000001</v>
      </c>
      <c r="T214" s="4">
        <v>1.5E-3</v>
      </c>
      <c r="W214" t="s">
        <v>190</v>
      </c>
      <c r="X214" s="6">
        <v>17460.846000000001</v>
      </c>
      <c r="Y214" s="6">
        <v>12570.402</v>
      </c>
      <c r="Z214" s="6">
        <v>10913.164000000001</v>
      </c>
      <c r="AA214" s="6">
        <v>10748.272000000001</v>
      </c>
      <c r="AB214" s="6">
        <v>11194.299000000001</v>
      </c>
      <c r="AC214" s="6">
        <v>9714.4189999999999</v>
      </c>
    </row>
    <row r="215" spans="1:29" x14ac:dyDescent="0.25">
      <c r="A215" s="2">
        <v>18</v>
      </c>
      <c r="B215" s="2" t="s">
        <v>53</v>
      </c>
      <c r="C215" s="2" t="s">
        <v>54</v>
      </c>
      <c r="D215" s="2" t="str">
        <f>VLOOKUP(C215,[2]world_pop.!$C:$E,3,FALSE)</f>
        <v>Asia</v>
      </c>
      <c r="E215" s="2">
        <v>85341.240999999995</v>
      </c>
      <c r="F215" s="2">
        <v>84775.403999999995</v>
      </c>
      <c r="G215" s="2">
        <v>84135.428</v>
      </c>
      <c r="H215" s="2">
        <v>95829.258000000002</v>
      </c>
      <c r="I215" s="2">
        <v>88879.698000000004</v>
      </c>
      <c r="J215" s="2">
        <v>79646.178</v>
      </c>
      <c r="K215" s="2">
        <v>73195.345000000001</v>
      </c>
      <c r="L215" s="2">
        <v>64113.546999999999</v>
      </c>
      <c r="M215" s="2">
        <v>54324.142</v>
      </c>
      <c r="N215" s="2">
        <v>44089.069000000003</v>
      </c>
      <c r="O215" s="10">
        <v>35540.99</v>
      </c>
      <c r="P215" s="2">
        <v>783562</v>
      </c>
      <c r="Q215" s="12">
        <v>783562</v>
      </c>
      <c r="R215" s="2">
        <v>108.9145</v>
      </c>
      <c r="S215" s="2">
        <v>1.0066999999999999</v>
      </c>
      <c r="T215" s="4">
        <v>1.0699999999999999E-2</v>
      </c>
      <c r="W215" t="s">
        <v>78</v>
      </c>
      <c r="X215" s="6">
        <v>44219.565000000002</v>
      </c>
      <c r="Y215" s="6">
        <v>47076.572999999997</v>
      </c>
      <c r="Z215" s="6">
        <v>47558.63</v>
      </c>
      <c r="AA215" s="6">
        <v>47486.934999999998</v>
      </c>
      <c r="AB215" s="6">
        <v>46431.341999999997</v>
      </c>
      <c r="AC215" s="6">
        <v>46572.771999999997</v>
      </c>
    </row>
    <row r="216" spans="1:29" x14ac:dyDescent="0.25">
      <c r="A216" s="2">
        <v>111</v>
      </c>
      <c r="B216" s="2" t="s">
        <v>239</v>
      </c>
      <c r="C216" s="2" t="s">
        <v>240</v>
      </c>
      <c r="D216" s="2" t="str">
        <f>VLOOKUP(C216,[2]world_pop.!$C:$E,3,FALSE)</f>
        <v>Asia</v>
      </c>
      <c r="E216" s="2">
        <v>6430.77</v>
      </c>
      <c r="F216" s="2">
        <v>6341.8549999999996</v>
      </c>
      <c r="G216" s="2">
        <v>6250.4380000000001</v>
      </c>
      <c r="H216" s="2">
        <v>8263.8330000000005</v>
      </c>
      <c r="I216" s="2">
        <v>7034.7579999999998</v>
      </c>
      <c r="J216" s="2">
        <v>5766.4309999999996</v>
      </c>
      <c r="K216" s="2">
        <v>5267.97</v>
      </c>
      <c r="L216" s="2">
        <v>4569.1319999999996</v>
      </c>
      <c r="M216" s="2">
        <v>3720.2779999999998</v>
      </c>
      <c r="N216" s="2">
        <v>2862.9029999999998</v>
      </c>
      <c r="O216" s="10">
        <v>2201.4319999999998</v>
      </c>
      <c r="P216" s="2">
        <v>488100</v>
      </c>
      <c r="Q216" s="12">
        <v>469930</v>
      </c>
      <c r="R216" s="2">
        <v>13.6845</v>
      </c>
      <c r="S216" s="2">
        <v>1.014</v>
      </c>
      <c r="T216" s="4">
        <v>8.0000000000000004E-4</v>
      </c>
      <c r="W216" t="s">
        <v>140</v>
      </c>
      <c r="X216" s="6">
        <v>21814.985000000001</v>
      </c>
      <c r="Y216" s="6">
        <v>22186.97</v>
      </c>
      <c r="Z216" s="6">
        <v>21832.143</v>
      </c>
      <c r="AA216" s="6">
        <v>21773.440999999999</v>
      </c>
      <c r="AB216" s="6">
        <v>21336.697</v>
      </c>
      <c r="AC216" s="6">
        <v>20668.557000000001</v>
      </c>
    </row>
    <row r="217" spans="1:29" x14ac:dyDescent="0.25">
      <c r="A217" s="2">
        <v>212</v>
      </c>
      <c r="B217" s="2" t="s">
        <v>441</v>
      </c>
      <c r="C217" s="2" t="s">
        <v>442</v>
      </c>
      <c r="D217" s="2" t="str">
        <f>VLOOKUP(C217,[2]world_pop.!$C:$E,3,FALSE)</f>
        <v>North America</v>
      </c>
      <c r="E217" s="2">
        <v>45.703000000000003</v>
      </c>
      <c r="F217" s="2">
        <v>45.113999999999997</v>
      </c>
      <c r="G217" s="2">
        <v>44.276000000000003</v>
      </c>
      <c r="H217" s="2">
        <v>52.865000000000002</v>
      </c>
      <c r="I217" s="2">
        <v>48.537999999999997</v>
      </c>
      <c r="J217" s="2">
        <v>36.537999999999997</v>
      </c>
      <c r="K217" s="2">
        <v>29.725999999999999</v>
      </c>
      <c r="L217" s="2">
        <v>18.744</v>
      </c>
      <c r="M217" s="2">
        <v>11.709</v>
      </c>
      <c r="N217" s="2">
        <v>7.5979999999999999</v>
      </c>
      <c r="O217" s="10">
        <v>5.665</v>
      </c>
      <c r="P217" s="2">
        <v>948</v>
      </c>
      <c r="Q217" s="12">
        <v>948</v>
      </c>
      <c r="R217" s="2">
        <v>48.209899999999998</v>
      </c>
      <c r="S217" s="2">
        <v>1.0130999999999999</v>
      </c>
      <c r="T217" s="4">
        <v>0</v>
      </c>
      <c r="W217" t="s">
        <v>82</v>
      </c>
      <c r="X217" s="6">
        <v>84494.269</v>
      </c>
      <c r="Y217" s="6">
        <v>56997.099000000002</v>
      </c>
      <c r="Z217" s="6">
        <v>46874.203999999998</v>
      </c>
      <c r="AA217" s="6">
        <v>45657.201999999997</v>
      </c>
      <c r="AB217" s="6">
        <v>38171.178</v>
      </c>
      <c r="AC217" s="6">
        <v>33739.932999999997</v>
      </c>
    </row>
    <row r="218" spans="1:29" x14ac:dyDescent="0.25">
      <c r="A218" s="2">
        <v>227</v>
      </c>
      <c r="B218" s="2" t="s">
        <v>471</v>
      </c>
      <c r="C218" s="2" t="s">
        <v>472</v>
      </c>
      <c r="D218" s="2" t="str">
        <f>VLOOKUP(C218,[2]world_pop.!$C:$E,3,FALSE)</f>
        <v>Oceania</v>
      </c>
      <c r="E218" s="2">
        <v>11.311999999999999</v>
      </c>
      <c r="F218" s="2">
        <v>11.204000000000001</v>
      </c>
      <c r="G218" s="2">
        <v>11.069000000000001</v>
      </c>
      <c r="H218" s="2">
        <v>13.211</v>
      </c>
      <c r="I218" s="2">
        <v>11.917</v>
      </c>
      <c r="J218" s="2">
        <v>10.877000000000001</v>
      </c>
      <c r="K218" s="2">
        <v>10.55</v>
      </c>
      <c r="L218" s="2">
        <v>9.6379999999999999</v>
      </c>
      <c r="M218" s="2">
        <v>9.1820000000000004</v>
      </c>
      <c r="N218" s="2">
        <v>7.7309999999999999</v>
      </c>
      <c r="O218" s="10">
        <v>5.8140000000000001</v>
      </c>
      <c r="P218" s="2">
        <v>26</v>
      </c>
      <c r="Q218" s="12">
        <v>30</v>
      </c>
      <c r="R218" s="2">
        <v>377.06670000000003</v>
      </c>
      <c r="S218" s="2">
        <v>1.0096000000000001</v>
      </c>
      <c r="T218" s="4">
        <v>0</v>
      </c>
      <c r="W218" t="s">
        <v>358</v>
      </c>
      <c r="X218" s="6">
        <v>725.51900000000001</v>
      </c>
      <c r="Y218" s="6">
        <v>659.50800000000004</v>
      </c>
      <c r="Z218" s="6">
        <v>618.04</v>
      </c>
      <c r="AA218" s="6">
        <v>612.98500000000001</v>
      </c>
      <c r="AB218" s="6">
        <v>575.47500000000002</v>
      </c>
      <c r="AC218" s="6">
        <v>546.08000000000004</v>
      </c>
    </row>
    <row r="219" spans="1:29" x14ac:dyDescent="0.25">
      <c r="A219" s="2">
        <v>31</v>
      </c>
      <c r="B219" s="2" t="s">
        <v>79</v>
      </c>
      <c r="C219" s="2" t="s">
        <v>80</v>
      </c>
      <c r="D219" s="2" t="str">
        <f>VLOOKUP(C219,[2]world_pop.!$C:$E,3,FALSE)</f>
        <v>Africa</v>
      </c>
      <c r="E219" s="2">
        <v>47249.584999999999</v>
      </c>
      <c r="F219" s="2">
        <v>45853.777999999998</v>
      </c>
      <c r="G219" s="2">
        <v>44404.610999999997</v>
      </c>
      <c r="H219" s="2">
        <v>87622.081000000006</v>
      </c>
      <c r="I219" s="2">
        <v>58380.262000000002</v>
      </c>
      <c r="J219" s="2">
        <v>37477.356</v>
      </c>
      <c r="K219" s="2">
        <v>32341.727999999999</v>
      </c>
      <c r="L219" s="2">
        <v>24020.697</v>
      </c>
      <c r="M219" s="2">
        <v>17586.63</v>
      </c>
      <c r="N219" s="2">
        <v>13284.026</v>
      </c>
      <c r="O219" s="10">
        <v>10317.212</v>
      </c>
      <c r="P219" s="2">
        <v>241550</v>
      </c>
      <c r="Q219" s="12">
        <v>200520</v>
      </c>
      <c r="R219" s="2">
        <v>235.6353</v>
      </c>
      <c r="S219" s="2">
        <v>1.0304</v>
      </c>
      <c r="T219" s="4">
        <v>5.8999999999999999E-3</v>
      </c>
      <c r="W219" t="s">
        <v>192</v>
      </c>
      <c r="X219" s="6">
        <v>11902.032999999999</v>
      </c>
      <c r="Y219" s="6">
        <v>11007.227999999999</v>
      </c>
      <c r="Z219" s="6">
        <v>10549.347</v>
      </c>
      <c r="AA219" s="6">
        <v>10467.097</v>
      </c>
      <c r="AB219" s="6">
        <v>9849.3490000000002</v>
      </c>
      <c r="AC219" s="6">
        <v>9381.7289999999994</v>
      </c>
    </row>
    <row r="220" spans="1:29" x14ac:dyDescent="0.25">
      <c r="A220" s="2">
        <v>38</v>
      </c>
      <c r="B220" s="2" t="s">
        <v>93</v>
      </c>
      <c r="C220" s="2" t="s">
        <v>94</v>
      </c>
      <c r="D220" s="2" t="str">
        <f>VLOOKUP(C220,[2]world_pop.!$C:$E,3,FALSE)</f>
        <v>Europe</v>
      </c>
      <c r="E220" s="2">
        <v>39701.739000000001</v>
      </c>
      <c r="F220" s="2">
        <v>43531.421999999999</v>
      </c>
      <c r="G220" s="2">
        <v>43909.665999999997</v>
      </c>
      <c r="H220" s="2">
        <v>32867.718999999997</v>
      </c>
      <c r="I220" s="2">
        <v>38295.428999999996</v>
      </c>
      <c r="J220" s="2">
        <v>44982.563999999998</v>
      </c>
      <c r="K220" s="2">
        <v>45683.02</v>
      </c>
      <c r="L220" s="2">
        <v>48879.754999999997</v>
      </c>
      <c r="M220" s="2">
        <v>51589.817000000003</v>
      </c>
      <c r="N220" s="2">
        <v>49973.919999999998</v>
      </c>
      <c r="O220" s="10">
        <v>47279.086000000003</v>
      </c>
      <c r="P220" s="2">
        <v>603500</v>
      </c>
      <c r="Q220" s="12">
        <v>579400</v>
      </c>
      <c r="R220" s="2">
        <v>68.522199999999998</v>
      </c>
      <c r="S220" s="2">
        <v>0.91200000000000003</v>
      </c>
      <c r="T220" s="4">
        <v>5.0000000000000001E-3</v>
      </c>
      <c r="W220" t="s">
        <v>220</v>
      </c>
      <c r="X220" s="6">
        <v>9753.7530000000006</v>
      </c>
      <c r="Y220" s="6">
        <v>9143.6980000000003</v>
      </c>
      <c r="Z220" s="6">
        <v>8740.4719999999998</v>
      </c>
      <c r="AA220" s="6">
        <v>8691.4060000000009</v>
      </c>
      <c r="AB220" s="6">
        <v>8281.732</v>
      </c>
      <c r="AC220" s="6">
        <v>7822.4350000000004</v>
      </c>
    </row>
    <row r="221" spans="1:29" x14ac:dyDescent="0.25">
      <c r="A221" s="2">
        <v>97</v>
      </c>
      <c r="B221" s="2" t="s">
        <v>211</v>
      </c>
      <c r="C221" s="2" t="s">
        <v>212</v>
      </c>
      <c r="D221" s="2" t="str">
        <f>VLOOKUP(C221,[2]world_pop.!$C:$E,3,FALSE)</f>
        <v>Asia</v>
      </c>
      <c r="E221" s="2">
        <v>9441.1290000000008</v>
      </c>
      <c r="F221" s="2">
        <v>9365.1450000000004</v>
      </c>
      <c r="G221" s="2">
        <v>9287.2890000000007</v>
      </c>
      <c r="H221" s="2">
        <v>11449.471</v>
      </c>
      <c r="I221" s="2">
        <v>10004.319</v>
      </c>
      <c r="J221" s="2">
        <v>8916.8989999999994</v>
      </c>
      <c r="K221" s="2">
        <v>8481.7710000000006</v>
      </c>
      <c r="L221" s="2">
        <v>3275.3330000000001</v>
      </c>
      <c r="M221" s="2">
        <v>1900.1510000000001</v>
      </c>
      <c r="N221" s="2">
        <v>1014.048</v>
      </c>
      <c r="O221" s="10">
        <v>298.084</v>
      </c>
      <c r="P221" s="2">
        <v>83600</v>
      </c>
      <c r="Q221" s="12">
        <v>71020</v>
      </c>
      <c r="R221" s="2">
        <v>132.93620000000001</v>
      </c>
      <c r="S221" s="2">
        <v>1.0081</v>
      </c>
      <c r="T221" s="4">
        <v>1.1999999999999999E-3</v>
      </c>
      <c r="W221" t="s">
        <v>138</v>
      </c>
      <c r="X221" s="6">
        <v>38306.374000000003</v>
      </c>
      <c r="Y221" s="6">
        <v>29824.735000000001</v>
      </c>
      <c r="Z221" s="6">
        <v>22125.249</v>
      </c>
      <c r="AA221" s="6">
        <v>21324.366999999998</v>
      </c>
      <c r="AB221" s="6">
        <v>19205.178</v>
      </c>
      <c r="AC221" s="6">
        <v>22337.562999999998</v>
      </c>
    </row>
    <row r="222" spans="1:29" x14ac:dyDescent="0.25">
      <c r="A222" s="2">
        <v>21</v>
      </c>
      <c r="B222" s="2" t="s">
        <v>59</v>
      </c>
      <c r="C222" s="2" t="s">
        <v>60</v>
      </c>
      <c r="D222" s="2" t="str">
        <f>VLOOKUP(C222,[2]world_pop.!$C:$E,3,FALSE)</f>
        <v>Europe</v>
      </c>
      <c r="E222" s="2">
        <v>67508.936000000002</v>
      </c>
      <c r="F222" s="2">
        <v>67281.039000000004</v>
      </c>
      <c r="G222" s="2">
        <v>67059.474000000002</v>
      </c>
      <c r="H222" s="2">
        <v>71684.966</v>
      </c>
      <c r="I222" s="2">
        <v>69175.77</v>
      </c>
      <c r="J222" s="2">
        <v>65224.364000000001</v>
      </c>
      <c r="K222" s="2">
        <v>62760.038999999997</v>
      </c>
      <c r="L222" s="2">
        <v>58850.042999999998</v>
      </c>
      <c r="M222" s="2">
        <v>57210.442000000003</v>
      </c>
      <c r="N222" s="2">
        <v>56326.328000000001</v>
      </c>
      <c r="O222" s="10">
        <v>55650.165999999997</v>
      </c>
      <c r="P222" s="2">
        <v>242900</v>
      </c>
      <c r="Q222" s="12">
        <v>241930</v>
      </c>
      <c r="R222" s="2">
        <v>279.04329999999999</v>
      </c>
      <c r="S222" s="2">
        <v>1.0034000000000001</v>
      </c>
      <c r="T222" s="4">
        <v>8.5000000000000006E-3</v>
      </c>
      <c r="W222" t="s">
        <v>132</v>
      </c>
      <c r="X222" s="6">
        <v>22445.526000000002</v>
      </c>
      <c r="Y222" s="6">
        <v>24027.999</v>
      </c>
      <c r="Z222" s="6">
        <v>23893.394</v>
      </c>
      <c r="AA222" s="6">
        <v>23859.912</v>
      </c>
      <c r="AB222" s="6">
        <v>23512.135999999999</v>
      </c>
      <c r="AC222" s="6">
        <v>23083.082999999999</v>
      </c>
    </row>
    <row r="223" spans="1:29" x14ac:dyDescent="0.25">
      <c r="A223" s="2">
        <v>3</v>
      </c>
      <c r="B223" s="2" t="s">
        <v>23</v>
      </c>
      <c r="C223" s="2" t="s">
        <v>24</v>
      </c>
      <c r="D223" s="2" t="str">
        <f>VLOOKUP(C223,[2]world_pop.!$C:$E,3,FALSE)</f>
        <v>North America</v>
      </c>
      <c r="E223" s="2">
        <v>338289.85700000002</v>
      </c>
      <c r="F223" s="2">
        <v>336997.62400000001</v>
      </c>
      <c r="G223" s="2">
        <v>335942.00300000003</v>
      </c>
      <c r="H223" s="2">
        <v>375391.96299999999</v>
      </c>
      <c r="I223" s="2">
        <v>352162.30099999998</v>
      </c>
      <c r="J223" s="2">
        <v>324607.77600000001</v>
      </c>
      <c r="K223" s="2">
        <v>311182.84499999997</v>
      </c>
      <c r="L223" s="2">
        <v>282398.554</v>
      </c>
      <c r="M223" s="2">
        <v>248083.73199999999</v>
      </c>
      <c r="N223" s="2">
        <v>223140.01800000001</v>
      </c>
      <c r="O223" s="10">
        <v>200328.34</v>
      </c>
      <c r="P223" s="2">
        <v>9372610</v>
      </c>
      <c r="Q223" s="12">
        <v>9147420</v>
      </c>
      <c r="R223" s="2">
        <v>36.981999999999999</v>
      </c>
      <c r="S223" s="2">
        <v>1.0038</v>
      </c>
      <c r="T223" s="4">
        <v>4.24E-2</v>
      </c>
      <c r="W223" t="s">
        <v>208</v>
      </c>
      <c r="X223" s="6">
        <v>15200.989</v>
      </c>
      <c r="Y223" s="6">
        <v>11421.43</v>
      </c>
      <c r="Z223" s="6">
        <v>9952.7870000000003</v>
      </c>
      <c r="AA223" s="6">
        <v>9750.0640000000003</v>
      </c>
      <c r="AB223" s="6">
        <v>8524.0630000000001</v>
      </c>
      <c r="AC223" s="6">
        <v>7621.7790000000005</v>
      </c>
    </row>
    <row r="224" spans="1:29" x14ac:dyDescent="0.25">
      <c r="A224" s="2">
        <v>200</v>
      </c>
      <c r="B224" s="2" t="s">
        <v>417</v>
      </c>
      <c r="C224" s="2" t="s">
        <v>418</v>
      </c>
      <c r="D224" s="2" t="str">
        <f>VLOOKUP(C224,[2]world_pop.!$C:$E,3,FALSE)</f>
        <v>North America</v>
      </c>
      <c r="E224" s="2">
        <v>99.465000000000003</v>
      </c>
      <c r="F224" s="2">
        <v>100.09099999999999</v>
      </c>
      <c r="G224" s="2">
        <v>100.44199999999999</v>
      </c>
      <c r="H224" s="2">
        <v>77.519000000000005</v>
      </c>
      <c r="I224" s="2">
        <v>93.418999999999997</v>
      </c>
      <c r="J224" s="2">
        <v>102.803</v>
      </c>
      <c r="K224" s="2">
        <v>106.142</v>
      </c>
      <c r="L224" s="2">
        <v>108.185</v>
      </c>
      <c r="M224" s="2">
        <v>100.685</v>
      </c>
      <c r="N224" s="2">
        <v>96.64</v>
      </c>
      <c r="O224" s="10">
        <v>63.445999999999998</v>
      </c>
      <c r="P224" s="2">
        <v>347</v>
      </c>
      <c r="Q224" s="12">
        <v>347</v>
      </c>
      <c r="R224" s="2">
        <v>286.64269999999999</v>
      </c>
      <c r="S224" s="2">
        <v>0.99370000000000003</v>
      </c>
      <c r="T224" s="4">
        <v>0</v>
      </c>
      <c r="W224" t="s">
        <v>62</v>
      </c>
      <c r="X224" s="6">
        <v>129931.52</v>
      </c>
      <c r="Y224" s="6">
        <v>81885.304000000004</v>
      </c>
      <c r="Z224" s="6">
        <v>65497.748</v>
      </c>
      <c r="AA224" s="6">
        <v>63588.334000000003</v>
      </c>
      <c r="AB224" s="6">
        <v>52542.822999999997</v>
      </c>
      <c r="AC224" s="6">
        <v>45110.527000000002</v>
      </c>
    </row>
    <row r="225" spans="1:29" x14ac:dyDescent="0.25">
      <c r="A225" s="2">
        <v>133</v>
      </c>
      <c r="B225" s="2" t="s">
        <v>283</v>
      </c>
      <c r="C225" s="2" t="s">
        <v>284</v>
      </c>
      <c r="D225" s="2" t="str">
        <f>VLOOKUP(C225,[2]world_pop.!$C:$E,3,FALSE)</f>
        <v>South America</v>
      </c>
      <c r="E225" s="2">
        <v>3422.7939999999999</v>
      </c>
      <c r="F225" s="2">
        <v>3426.26</v>
      </c>
      <c r="G225" s="2">
        <v>3429.0859999999998</v>
      </c>
      <c r="H225" s="2">
        <v>3337.143</v>
      </c>
      <c r="I225" s="2">
        <v>3423.3719999999998</v>
      </c>
      <c r="J225" s="2">
        <v>3402.8180000000002</v>
      </c>
      <c r="K225" s="2">
        <v>3352.6509999999998</v>
      </c>
      <c r="L225" s="2">
        <v>3292.2240000000002</v>
      </c>
      <c r="M225" s="2">
        <v>3117.0120000000002</v>
      </c>
      <c r="N225" s="2">
        <v>2953.75</v>
      </c>
      <c r="O225" s="10">
        <v>2790.2649999999999</v>
      </c>
      <c r="P225" s="2">
        <v>181034</v>
      </c>
      <c r="Q225" s="12">
        <v>175020</v>
      </c>
      <c r="R225" s="2">
        <v>19.5566</v>
      </c>
      <c r="S225" s="2">
        <v>0.999</v>
      </c>
      <c r="T225" s="4">
        <v>4.0000000000000002E-4</v>
      </c>
      <c r="W225" t="s">
        <v>58</v>
      </c>
      <c r="X225" s="6">
        <v>67880.082999999999</v>
      </c>
      <c r="Y225" s="6">
        <v>72060.017999999996</v>
      </c>
      <c r="Z225" s="6">
        <v>71697.03</v>
      </c>
      <c r="AA225" s="6">
        <v>71601.103000000003</v>
      </c>
      <c r="AB225" s="6">
        <v>70294.396999999997</v>
      </c>
      <c r="AC225" s="6">
        <v>68270.489000000001</v>
      </c>
    </row>
    <row r="226" spans="1:29" x14ac:dyDescent="0.25">
      <c r="A226" s="2">
        <v>43</v>
      </c>
      <c r="B226" s="2" t="s">
        <v>103</v>
      </c>
      <c r="C226" s="2" t="s">
        <v>104</v>
      </c>
      <c r="D226" s="2" t="str">
        <f>VLOOKUP(C226,[2]world_pop.!$C:$E,3,FALSE)</f>
        <v>Asia</v>
      </c>
      <c r="E226" s="2">
        <v>34627.652000000002</v>
      </c>
      <c r="F226" s="2">
        <v>34081.449000000001</v>
      </c>
      <c r="G226" s="2">
        <v>33526.656000000003</v>
      </c>
      <c r="H226" s="2">
        <v>45593.148999999998</v>
      </c>
      <c r="I226" s="2">
        <v>38313.228000000003</v>
      </c>
      <c r="J226" s="2">
        <v>30949.417000000001</v>
      </c>
      <c r="K226" s="2">
        <v>28614.226999999999</v>
      </c>
      <c r="L226" s="2">
        <v>24925.554</v>
      </c>
      <c r="M226" s="2">
        <v>20579.099999999999</v>
      </c>
      <c r="N226" s="2">
        <v>15947.129000000001</v>
      </c>
      <c r="O226" s="10">
        <v>12011.361000000001</v>
      </c>
      <c r="P226" s="2">
        <v>447400</v>
      </c>
      <c r="Q226" s="12">
        <v>440650</v>
      </c>
      <c r="R226" s="2">
        <v>78.583100000000002</v>
      </c>
      <c r="S226" s="2">
        <v>1.016</v>
      </c>
      <c r="T226" s="4">
        <v>4.3E-3</v>
      </c>
      <c r="W226" t="s">
        <v>328</v>
      </c>
      <c r="X226" s="6">
        <v>1806.8689999999999</v>
      </c>
      <c r="Y226" s="6">
        <v>1495.0809999999999</v>
      </c>
      <c r="Z226" s="6">
        <v>1341.296</v>
      </c>
      <c r="AA226" s="6">
        <v>1320.942</v>
      </c>
      <c r="AB226" s="6">
        <v>1205.8130000000001</v>
      </c>
      <c r="AC226" s="6">
        <v>1088.4860000000001</v>
      </c>
    </row>
    <row r="227" spans="1:29" x14ac:dyDescent="0.25">
      <c r="A227" s="2">
        <v>181</v>
      </c>
      <c r="B227" s="2" t="s">
        <v>379</v>
      </c>
      <c r="C227" s="2" t="s">
        <v>380</v>
      </c>
      <c r="D227" s="2" t="str">
        <f>VLOOKUP(C227,[2]world_pop.!$C:$E,3,FALSE)</f>
        <v>Oceania</v>
      </c>
      <c r="E227" s="2">
        <v>326.74</v>
      </c>
      <c r="F227" s="2">
        <v>319.137</v>
      </c>
      <c r="G227" s="2">
        <v>311.685</v>
      </c>
      <c r="H227" s="2">
        <v>578.56700000000001</v>
      </c>
      <c r="I227" s="2">
        <v>391.13499999999999</v>
      </c>
      <c r="J227" s="2">
        <v>276.43799999999999</v>
      </c>
      <c r="K227" s="2">
        <v>245.453</v>
      </c>
      <c r="L227" s="2">
        <v>192.07400000000001</v>
      </c>
      <c r="M227" s="2">
        <v>150.88200000000001</v>
      </c>
      <c r="N227" s="2">
        <v>118.15600000000001</v>
      </c>
      <c r="O227" s="10">
        <v>87.019000000000005</v>
      </c>
      <c r="P227" s="2">
        <v>12189</v>
      </c>
      <c r="Q227" s="12">
        <v>12190</v>
      </c>
      <c r="R227" s="2">
        <v>26.803899999999999</v>
      </c>
      <c r="S227" s="2">
        <v>1.0238</v>
      </c>
      <c r="T227" s="4">
        <v>0</v>
      </c>
      <c r="W227" t="s">
        <v>218</v>
      </c>
      <c r="X227" s="6">
        <v>15478.883</v>
      </c>
      <c r="Y227" s="6">
        <v>10558.178</v>
      </c>
      <c r="Z227" s="6">
        <v>8848.6990000000005</v>
      </c>
      <c r="AA227" s="6">
        <v>8644.8289999999997</v>
      </c>
      <c r="AB227" s="6">
        <v>7473.2290000000003</v>
      </c>
      <c r="AC227" s="6">
        <v>6571.8549999999996</v>
      </c>
    </row>
    <row r="228" spans="1:29" x14ac:dyDescent="0.25">
      <c r="A228" s="2">
        <v>234</v>
      </c>
      <c r="B228" s="2" t="s">
        <v>485</v>
      </c>
      <c r="C228" s="2" t="s">
        <v>486</v>
      </c>
      <c r="D228" s="2" t="str">
        <f>VLOOKUP(C228,[2]world_pop.!$C:$E,3,FALSE)</f>
        <v>Europe</v>
      </c>
      <c r="E228" s="2">
        <v>0.51</v>
      </c>
      <c r="F228" s="2">
        <v>0.51100000000000001</v>
      </c>
      <c r="G228" s="2">
        <v>0.52</v>
      </c>
      <c r="H228" s="2">
        <v>0.73099999999999998</v>
      </c>
      <c r="I228" s="2">
        <v>0.56100000000000005</v>
      </c>
      <c r="J228" s="2">
        <v>0.56399999999999995</v>
      </c>
      <c r="K228" s="2">
        <v>0.59599999999999997</v>
      </c>
      <c r="L228" s="2">
        <v>0.65100000000000002</v>
      </c>
      <c r="M228" s="2">
        <v>0.7</v>
      </c>
      <c r="N228" s="2">
        <v>0.73299999999999998</v>
      </c>
      <c r="O228" s="10">
        <v>0.752</v>
      </c>
      <c r="P228" s="2">
        <v>1</v>
      </c>
      <c r="Q228" s="12">
        <v>0.44</v>
      </c>
      <c r="R228" s="2">
        <v>1159.0908999999999</v>
      </c>
      <c r="S228" s="2">
        <v>0.998</v>
      </c>
      <c r="T228" s="4">
        <v>0</v>
      </c>
      <c r="W228" t="s">
        <v>484</v>
      </c>
      <c r="X228" s="6">
        <v>2.4300000000000002</v>
      </c>
      <c r="Y228" s="6">
        <v>2.0459999999999998</v>
      </c>
      <c r="Z228" s="6">
        <v>1.871</v>
      </c>
      <c r="AA228" s="6">
        <v>1.849</v>
      </c>
      <c r="AB228" s="6">
        <v>1.454</v>
      </c>
      <c r="AC228" s="6">
        <v>1.367</v>
      </c>
    </row>
    <row r="229" spans="1:29" x14ac:dyDescent="0.25">
      <c r="A229" s="2">
        <v>51</v>
      </c>
      <c r="B229" s="2" t="s">
        <v>119</v>
      </c>
      <c r="C229" s="2" t="s">
        <v>120</v>
      </c>
      <c r="D229" s="2" t="str">
        <f>VLOOKUP(C229,[2]world_pop.!$C:$E,3,FALSE)</f>
        <v>South America</v>
      </c>
      <c r="E229" s="2">
        <v>28301.696</v>
      </c>
      <c r="F229" s="2">
        <v>28199.866999999998</v>
      </c>
      <c r="G229" s="2">
        <v>28490.453000000001</v>
      </c>
      <c r="H229" s="2">
        <v>35937.404000000002</v>
      </c>
      <c r="I229" s="2">
        <v>32027.460999999999</v>
      </c>
      <c r="J229" s="2">
        <v>30529.716</v>
      </c>
      <c r="K229" s="2">
        <v>28715.022000000001</v>
      </c>
      <c r="L229" s="2">
        <v>24427.728999999999</v>
      </c>
      <c r="M229" s="2">
        <v>19750.579000000002</v>
      </c>
      <c r="N229" s="2">
        <v>15210.442999999999</v>
      </c>
      <c r="O229" s="10">
        <v>11355.475</v>
      </c>
      <c r="P229" s="2">
        <v>916445</v>
      </c>
      <c r="Q229" s="12">
        <v>882050</v>
      </c>
      <c r="R229" s="2">
        <v>32.086300000000001</v>
      </c>
      <c r="S229" s="2">
        <v>1.0036</v>
      </c>
      <c r="T229" s="4">
        <v>3.5000000000000001E-3</v>
      </c>
      <c r="W229" t="s">
        <v>412</v>
      </c>
      <c r="X229" s="6">
        <v>131.22499999999999</v>
      </c>
      <c r="Y229" s="6">
        <v>114.124</v>
      </c>
      <c r="Z229" s="6">
        <v>106.858</v>
      </c>
      <c r="AA229" s="6">
        <v>106.017</v>
      </c>
      <c r="AB229" s="6">
        <v>106.122</v>
      </c>
      <c r="AC229" s="6">
        <v>107.383</v>
      </c>
    </row>
    <row r="230" spans="1:29" x14ac:dyDescent="0.25">
      <c r="A230" s="2">
        <v>16</v>
      </c>
      <c r="B230" s="2" t="s">
        <v>49</v>
      </c>
      <c r="C230" s="2" t="s">
        <v>50</v>
      </c>
      <c r="D230" s="2" t="str">
        <f>VLOOKUP(C230,[2]world_pop.!$C:$E,3,FALSE)</f>
        <v>Asia</v>
      </c>
      <c r="E230" s="2">
        <v>98186.856</v>
      </c>
      <c r="F230" s="2">
        <v>97468.028999999995</v>
      </c>
      <c r="G230" s="2">
        <v>96648.684999999998</v>
      </c>
      <c r="H230" s="2">
        <v>107012.939</v>
      </c>
      <c r="I230" s="2">
        <v>102699.905</v>
      </c>
      <c r="J230" s="2">
        <v>92191.398000000001</v>
      </c>
      <c r="K230" s="2">
        <v>87411.012000000002</v>
      </c>
      <c r="L230" s="2">
        <v>79001.142000000007</v>
      </c>
      <c r="M230" s="2">
        <v>66912.612999999998</v>
      </c>
      <c r="N230" s="2">
        <v>52968.27</v>
      </c>
      <c r="O230" s="10">
        <v>41928.849000000002</v>
      </c>
      <c r="P230" s="2">
        <v>331212</v>
      </c>
      <c r="Q230" s="12">
        <v>313429</v>
      </c>
      <c r="R230" s="2">
        <v>313.26670000000001</v>
      </c>
      <c r="S230" s="2">
        <v>1.0074000000000001</v>
      </c>
      <c r="T230" s="4">
        <v>1.23E-2</v>
      </c>
      <c r="W230" t="s">
        <v>324</v>
      </c>
      <c r="X230" s="6">
        <v>1485.1389999999999</v>
      </c>
      <c r="Y230" s="6">
        <v>1547.69</v>
      </c>
      <c r="Z230" s="6">
        <v>1531.0440000000001</v>
      </c>
      <c r="AA230" s="6">
        <v>1525.663</v>
      </c>
      <c r="AB230" s="6">
        <v>1460.1769999999999</v>
      </c>
      <c r="AC230" s="6">
        <v>1410.296</v>
      </c>
    </row>
    <row r="231" spans="1:29" x14ac:dyDescent="0.25">
      <c r="A231" s="2">
        <v>226</v>
      </c>
      <c r="B231" s="2" t="s">
        <v>469</v>
      </c>
      <c r="C231" s="2" t="s">
        <v>470</v>
      </c>
      <c r="D231" s="2" t="str">
        <f>VLOOKUP(C231,[2]world_pop.!$C:$E,3,FALSE)</f>
        <v>Oceania</v>
      </c>
      <c r="E231" s="2">
        <v>11.571999999999999</v>
      </c>
      <c r="F231" s="2">
        <v>11.627000000000001</v>
      </c>
      <c r="G231" s="2">
        <v>11.654999999999999</v>
      </c>
      <c r="H231" s="2">
        <v>11.349</v>
      </c>
      <c r="I231" s="2">
        <v>11.228999999999999</v>
      </c>
      <c r="J231" s="2">
        <v>12.182</v>
      </c>
      <c r="K231" s="2">
        <v>13.141999999999999</v>
      </c>
      <c r="L231" s="2">
        <v>14.723000000000001</v>
      </c>
      <c r="M231" s="2">
        <v>13.454000000000001</v>
      </c>
      <c r="N231" s="2">
        <v>11.315</v>
      </c>
      <c r="O231" s="10">
        <v>9.3770000000000007</v>
      </c>
      <c r="P231" s="2">
        <v>142</v>
      </c>
      <c r="Q231" s="12">
        <v>274</v>
      </c>
      <c r="R231" s="2">
        <v>42.233600000000003</v>
      </c>
      <c r="S231" s="2">
        <v>0.99529999999999996</v>
      </c>
      <c r="T231" s="4">
        <v>0</v>
      </c>
      <c r="W231" t="s">
        <v>176</v>
      </c>
      <c r="X231" s="6">
        <v>14315.779</v>
      </c>
      <c r="Y231" s="6">
        <v>13100.768</v>
      </c>
      <c r="Z231" s="6">
        <v>12356.117</v>
      </c>
      <c r="AA231" s="6">
        <v>12262.946</v>
      </c>
      <c r="AB231" s="6">
        <v>11557.779</v>
      </c>
      <c r="AC231" s="6">
        <v>10895.063</v>
      </c>
    </row>
    <row r="232" spans="1:29" x14ac:dyDescent="0.25">
      <c r="A232" s="2">
        <v>172</v>
      </c>
      <c r="B232" s="2" t="s">
        <v>361</v>
      </c>
      <c r="C232" s="2" t="s">
        <v>362</v>
      </c>
      <c r="D232" s="2" t="str">
        <f>VLOOKUP(C232,[2]world_pop.!$C:$E,3,FALSE)</f>
        <v>Africa</v>
      </c>
      <c r="E232" s="2">
        <v>575.98599999999999</v>
      </c>
      <c r="F232" s="2">
        <v>565.58100000000002</v>
      </c>
      <c r="G232" s="2">
        <v>556.048</v>
      </c>
      <c r="H232" s="2">
        <v>851.06700000000001</v>
      </c>
      <c r="I232" s="2">
        <v>662.726</v>
      </c>
      <c r="J232" s="2">
        <v>491.82400000000001</v>
      </c>
      <c r="K232" s="2">
        <v>413.29599999999999</v>
      </c>
      <c r="L232" s="2">
        <v>270.375</v>
      </c>
      <c r="M232" s="2">
        <v>178.529</v>
      </c>
      <c r="N232" s="2">
        <v>116.77500000000001</v>
      </c>
      <c r="O232" s="10">
        <v>76.370999999999995</v>
      </c>
      <c r="P232" s="2">
        <v>266000</v>
      </c>
      <c r="Q232" s="12">
        <v>266000</v>
      </c>
      <c r="R232" s="2">
        <v>2.1654</v>
      </c>
      <c r="S232" s="2">
        <v>1.0184</v>
      </c>
      <c r="T232" s="4">
        <v>1E-4</v>
      </c>
      <c r="W232" t="s">
        <v>54</v>
      </c>
      <c r="X232" s="6">
        <v>95829.258000000002</v>
      </c>
      <c r="Y232" s="6">
        <v>88879.698000000004</v>
      </c>
      <c r="Z232" s="6">
        <v>85341.240999999995</v>
      </c>
      <c r="AA232" s="6">
        <v>84775.403999999995</v>
      </c>
      <c r="AB232" s="6">
        <v>79646.178</v>
      </c>
      <c r="AC232" s="6">
        <v>73195.345000000001</v>
      </c>
    </row>
    <row r="233" spans="1:29" x14ac:dyDescent="0.25">
      <c r="A233" s="2">
        <v>46</v>
      </c>
      <c r="B233" s="2" t="s">
        <v>109</v>
      </c>
      <c r="C233" s="2" t="s">
        <v>110</v>
      </c>
      <c r="D233" s="2" t="str">
        <f>VLOOKUP(C233,[2]world_pop.!$C:$E,3,FALSE)</f>
        <v>Asia</v>
      </c>
      <c r="E233" s="2">
        <v>33696.614000000001</v>
      </c>
      <c r="F233" s="2">
        <v>32981.641000000003</v>
      </c>
      <c r="G233" s="2">
        <v>32284.045999999998</v>
      </c>
      <c r="H233" s="2">
        <v>55296.330999999998</v>
      </c>
      <c r="I233" s="2">
        <v>39923.245000000003</v>
      </c>
      <c r="J233" s="2">
        <v>28516.544999999998</v>
      </c>
      <c r="K233" s="2">
        <v>24743.946</v>
      </c>
      <c r="L233" s="2">
        <v>18628.7</v>
      </c>
      <c r="M233" s="2">
        <v>13375.120999999999</v>
      </c>
      <c r="N233" s="2">
        <v>9204.9380000000001</v>
      </c>
      <c r="O233" s="10">
        <v>6843.607</v>
      </c>
      <c r="P233" s="2">
        <v>527968</v>
      </c>
      <c r="Q233" s="12">
        <v>527970</v>
      </c>
      <c r="R233" s="2">
        <v>63.823</v>
      </c>
      <c r="S233" s="2">
        <v>1.0217000000000001</v>
      </c>
      <c r="T233" s="4">
        <v>4.1999999999999997E-3</v>
      </c>
      <c r="W233" t="s">
        <v>240</v>
      </c>
      <c r="X233" s="6">
        <v>8263.8330000000005</v>
      </c>
      <c r="Y233" s="6">
        <v>7034.7579999999998</v>
      </c>
      <c r="Z233" s="6">
        <v>6430.77</v>
      </c>
      <c r="AA233" s="6">
        <v>6341.8549999999996</v>
      </c>
      <c r="AB233" s="6">
        <v>5766.4309999999996</v>
      </c>
      <c r="AC233" s="6">
        <v>5267.97</v>
      </c>
    </row>
    <row r="234" spans="1:29" x14ac:dyDescent="0.25">
      <c r="A234" s="2">
        <v>63</v>
      </c>
      <c r="B234" s="2" t="s">
        <v>143</v>
      </c>
      <c r="C234" s="2" t="s">
        <v>144</v>
      </c>
      <c r="D234" s="2" t="str">
        <f>VLOOKUP(C234,[2]world_pop.!$C:$E,3,FALSE)</f>
        <v>Africa</v>
      </c>
      <c r="E234" s="2">
        <v>20017.674999999999</v>
      </c>
      <c r="F234" s="2">
        <v>19473.125</v>
      </c>
      <c r="G234" s="2">
        <v>18927.715</v>
      </c>
      <c r="H234" s="2">
        <v>37460.434999999998</v>
      </c>
      <c r="I234" s="2">
        <v>24676.417000000001</v>
      </c>
      <c r="J234" s="2">
        <v>16248.23</v>
      </c>
      <c r="K234" s="2">
        <v>13792.085999999999</v>
      </c>
      <c r="L234" s="2">
        <v>9891.1360000000004</v>
      </c>
      <c r="M234" s="2">
        <v>7686.4009999999998</v>
      </c>
      <c r="N234" s="2">
        <v>5720.4380000000001</v>
      </c>
      <c r="O234" s="10">
        <v>4281.6710000000003</v>
      </c>
      <c r="P234" s="2">
        <v>752612</v>
      </c>
      <c r="Q234" s="12">
        <v>743390</v>
      </c>
      <c r="R234" s="2">
        <v>26.927600000000002</v>
      </c>
      <c r="S234" s="2">
        <v>1.028</v>
      </c>
      <c r="T234" s="4">
        <v>2.5000000000000001E-3</v>
      </c>
      <c r="W234" t="s">
        <v>442</v>
      </c>
      <c r="X234" s="6">
        <v>52.865000000000002</v>
      </c>
      <c r="Y234" s="6">
        <v>48.537999999999997</v>
      </c>
      <c r="Z234" s="6">
        <v>45.703000000000003</v>
      </c>
      <c r="AA234" s="6">
        <v>45.113999999999997</v>
      </c>
      <c r="AB234" s="6">
        <v>36.537999999999997</v>
      </c>
      <c r="AC234" s="6">
        <v>29.725999999999999</v>
      </c>
    </row>
    <row r="235" spans="1:29" x14ac:dyDescent="0.25">
      <c r="A235" s="2">
        <v>74</v>
      </c>
      <c r="B235" s="2" t="s">
        <v>165</v>
      </c>
      <c r="C235" s="2" t="s">
        <v>166</v>
      </c>
      <c r="D235" s="2" t="str">
        <f>VLOOKUP(C235,[2]world_pop.!$C:$E,3,FALSE)</f>
        <v>Africa</v>
      </c>
      <c r="E235" s="2">
        <v>16320.537</v>
      </c>
      <c r="F235" s="2">
        <v>15993.523999999999</v>
      </c>
      <c r="G235" s="2">
        <v>15669.665999999999</v>
      </c>
      <c r="H235" s="2">
        <v>26438.589</v>
      </c>
      <c r="I235" s="2">
        <v>19179.393</v>
      </c>
      <c r="J235" s="2">
        <v>14154.937</v>
      </c>
      <c r="K235" s="2">
        <v>12839.771000000001</v>
      </c>
      <c r="L235" s="2">
        <v>11834.675999999999</v>
      </c>
      <c r="M235" s="2">
        <v>10113.893</v>
      </c>
      <c r="N235" s="2">
        <v>7049.9260000000004</v>
      </c>
      <c r="O235" s="10">
        <v>5202.9179999999997</v>
      </c>
      <c r="P235" s="2">
        <v>390757</v>
      </c>
      <c r="Q235" s="12">
        <v>386850</v>
      </c>
      <c r="R235" s="2">
        <v>42.188299999999998</v>
      </c>
      <c r="S235" s="2">
        <v>1.0204</v>
      </c>
      <c r="T235" s="4">
        <v>2E-3</v>
      </c>
      <c r="W235" t="s">
        <v>472</v>
      </c>
      <c r="X235" s="6">
        <v>13.211</v>
      </c>
      <c r="Y235" s="6">
        <v>11.917</v>
      </c>
      <c r="Z235" s="6">
        <v>11.311999999999999</v>
      </c>
      <c r="AA235" s="6">
        <v>11.204000000000001</v>
      </c>
      <c r="AB235" s="6">
        <v>10.877000000000001</v>
      </c>
      <c r="AC235" s="6">
        <v>10.55</v>
      </c>
    </row>
    <row r="236" spans="1:29" x14ac:dyDescent="0.25">
      <c r="W236" t="s">
        <v>80</v>
      </c>
      <c r="X236" s="6">
        <v>87622.081000000006</v>
      </c>
      <c r="Y236" s="6">
        <v>58380.262000000002</v>
      </c>
      <c r="Z236" s="6">
        <v>47249.584999999999</v>
      </c>
      <c r="AA236" s="6">
        <v>45853.777999999998</v>
      </c>
      <c r="AB236" s="6">
        <v>37477.356</v>
      </c>
      <c r="AC236" s="6">
        <v>32341.727999999999</v>
      </c>
    </row>
    <row r="237" spans="1:29" x14ac:dyDescent="0.25">
      <c r="W237" t="s">
        <v>94</v>
      </c>
      <c r="X237" s="6">
        <v>32867.718999999997</v>
      </c>
      <c r="Y237" s="6">
        <v>38295.428999999996</v>
      </c>
      <c r="Z237" s="6">
        <v>39701.739000000001</v>
      </c>
      <c r="AA237" s="6">
        <v>43531.421999999999</v>
      </c>
      <c r="AB237" s="6">
        <v>44982.563999999998</v>
      </c>
      <c r="AC237" s="6">
        <v>45683.02</v>
      </c>
    </row>
    <row r="238" spans="1:29" x14ac:dyDescent="0.25">
      <c r="W238" t="s">
        <v>212</v>
      </c>
      <c r="X238" s="6">
        <v>11449.471</v>
      </c>
      <c r="Y238" s="6">
        <v>10004.319</v>
      </c>
      <c r="Z238" s="6">
        <v>9441.1290000000008</v>
      </c>
      <c r="AA238" s="6">
        <v>9365.1450000000004</v>
      </c>
      <c r="AB238" s="6">
        <v>8916.8989999999994</v>
      </c>
      <c r="AC238" s="6">
        <v>8481.7710000000006</v>
      </c>
    </row>
    <row r="239" spans="1:29" x14ac:dyDescent="0.25">
      <c r="W239" t="s">
        <v>60</v>
      </c>
      <c r="X239" s="6">
        <v>71684.966</v>
      </c>
      <c r="Y239" s="6">
        <v>69175.77</v>
      </c>
      <c r="Z239" s="6">
        <v>67508.936000000002</v>
      </c>
      <c r="AA239" s="6">
        <v>67281.039000000004</v>
      </c>
      <c r="AB239" s="6">
        <v>65224.364000000001</v>
      </c>
      <c r="AC239" s="6">
        <v>62760.038999999997</v>
      </c>
    </row>
    <row r="240" spans="1:29" x14ac:dyDescent="0.25">
      <c r="W240" t="s">
        <v>24</v>
      </c>
      <c r="X240" s="6">
        <v>375391.96299999999</v>
      </c>
      <c r="Y240" s="6">
        <v>352162.30099999998</v>
      </c>
      <c r="Z240" s="6">
        <v>338289.85700000002</v>
      </c>
      <c r="AA240" s="6">
        <v>336997.62400000001</v>
      </c>
      <c r="AB240" s="6">
        <v>324607.77600000001</v>
      </c>
      <c r="AC240" s="6">
        <v>311182.84499999997</v>
      </c>
    </row>
    <row r="241" spans="23:29" x14ac:dyDescent="0.25">
      <c r="W241" t="s">
        <v>418</v>
      </c>
      <c r="X241" s="6">
        <v>77.519000000000005</v>
      </c>
      <c r="Y241" s="6">
        <v>93.418999999999997</v>
      </c>
      <c r="Z241" s="6">
        <v>99.465000000000003</v>
      </c>
      <c r="AA241" s="6">
        <v>100.09099999999999</v>
      </c>
      <c r="AB241" s="6">
        <v>102.803</v>
      </c>
      <c r="AC241" s="6">
        <v>106.142</v>
      </c>
    </row>
    <row r="242" spans="23:29" x14ac:dyDescent="0.25">
      <c r="W242" t="s">
        <v>284</v>
      </c>
      <c r="X242" s="6">
        <v>3337.143</v>
      </c>
      <c r="Y242" s="6">
        <v>3423.3719999999998</v>
      </c>
      <c r="Z242" s="6">
        <v>3422.7939999999999</v>
      </c>
      <c r="AA242" s="6">
        <v>3426.26</v>
      </c>
      <c r="AB242" s="6">
        <v>3402.8180000000002</v>
      </c>
      <c r="AC242" s="6">
        <v>3352.6509999999998</v>
      </c>
    </row>
    <row r="243" spans="23:29" x14ac:dyDescent="0.25">
      <c r="W243" t="s">
        <v>104</v>
      </c>
      <c r="X243" s="6">
        <v>45593.148999999998</v>
      </c>
      <c r="Y243" s="6">
        <v>38313.228000000003</v>
      </c>
      <c r="Z243" s="6">
        <v>34627.652000000002</v>
      </c>
      <c r="AA243" s="6">
        <v>34081.449000000001</v>
      </c>
      <c r="AB243" s="6">
        <v>30949.417000000001</v>
      </c>
      <c r="AC243" s="6">
        <v>28614.226999999999</v>
      </c>
    </row>
    <row r="244" spans="23:29" x14ac:dyDescent="0.25">
      <c r="W244" t="s">
        <v>380</v>
      </c>
      <c r="X244" s="6">
        <v>578.56700000000001</v>
      </c>
      <c r="Y244" s="6">
        <v>391.13499999999999</v>
      </c>
      <c r="Z244" s="6">
        <v>326.74</v>
      </c>
      <c r="AA244" s="6">
        <v>319.137</v>
      </c>
      <c r="AB244" s="6">
        <v>276.43799999999999</v>
      </c>
      <c r="AC244" s="6">
        <v>245.453</v>
      </c>
    </row>
    <row r="245" spans="23:29" x14ac:dyDescent="0.25">
      <c r="W245" t="s">
        <v>486</v>
      </c>
      <c r="X245" s="6">
        <v>0.73099999999999998</v>
      </c>
      <c r="Y245" s="6">
        <v>0.56100000000000005</v>
      </c>
      <c r="Z245" s="6">
        <v>0.51</v>
      </c>
      <c r="AA245" s="6">
        <v>0.51100000000000001</v>
      </c>
      <c r="AB245" s="6">
        <v>0.56399999999999995</v>
      </c>
      <c r="AC245" s="6">
        <v>0.59599999999999997</v>
      </c>
    </row>
    <row r="246" spans="23:29" x14ac:dyDescent="0.25">
      <c r="W246" t="s">
        <v>120</v>
      </c>
      <c r="X246" s="6">
        <v>35937.404000000002</v>
      </c>
      <c r="Y246" s="6">
        <v>32027.460999999999</v>
      </c>
      <c r="Z246" s="6">
        <v>28301.696</v>
      </c>
      <c r="AA246" s="6">
        <v>28199.866999999998</v>
      </c>
      <c r="AB246" s="6">
        <v>30529.716</v>
      </c>
      <c r="AC246" s="6">
        <v>28715.022000000001</v>
      </c>
    </row>
    <row r="247" spans="23:29" x14ac:dyDescent="0.25">
      <c r="W247" t="s">
        <v>50</v>
      </c>
      <c r="X247" s="6">
        <v>107012.939</v>
      </c>
      <c r="Y247" s="6">
        <v>102699.905</v>
      </c>
      <c r="Z247" s="6">
        <v>98186.856</v>
      </c>
      <c r="AA247" s="6">
        <v>97468.028999999995</v>
      </c>
      <c r="AB247" s="6">
        <v>92191.398000000001</v>
      </c>
      <c r="AC247" s="6">
        <v>87411.012000000002</v>
      </c>
    </row>
    <row r="248" spans="23:29" x14ac:dyDescent="0.25">
      <c r="W248" t="s">
        <v>470</v>
      </c>
      <c r="X248" s="6">
        <v>11.349</v>
      </c>
      <c r="Y248" s="6">
        <v>11.228999999999999</v>
      </c>
      <c r="Z248" s="6">
        <v>11.571999999999999</v>
      </c>
      <c r="AA248" s="6">
        <v>11.627000000000001</v>
      </c>
      <c r="AB248" s="6">
        <v>12.182</v>
      </c>
      <c r="AC248" s="6">
        <v>13.141999999999999</v>
      </c>
    </row>
    <row r="249" spans="23:29" x14ac:dyDescent="0.25">
      <c r="W249" t="s">
        <v>362</v>
      </c>
      <c r="X249" s="6">
        <v>851.06700000000001</v>
      </c>
      <c r="Y249" s="6">
        <v>662.726</v>
      </c>
      <c r="Z249" s="6">
        <v>575.98599999999999</v>
      </c>
      <c r="AA249" s="6">
        <v>565.58100000000002</v>
      </c>
      <c r="AB249" s="6">
        <v>491.82400000000001</v>
      </c>
      <c r="AC249" s="6">
        <v>413.29599999999999</v>
      </c>
    </row>
    <row r="250" spans="23:29" x14ac:dyDescent="0.25">
      <c r="W250" t="s">
        <v>110</v>
      </c>
      <c r="X250" s="6">
        <v>55296.330999999998</v>
      </c>
      <c r="Y250" s="6">
        <v>39923.245000000003</v>
      </c>
      <c r="Z250" s="6">
        <v>33696.614000000001</v>
      </c>
      <c r="AA250" s="6">
        <v>32981.641000000003</v>
      </c>
      <c r="AB250" s="6">
        <v>28516.544999999998</v>
      </c>
      <c r="AC250" s="6">
        <v>24743.946</v>
      </c>
    </row>
    <row r="251" spans="23:29" x14ac:dyDescent="0.25">
      <c r="W251" t="s">
        <v>144</v>
      </c>
      <c r="X251" s="6">
        <v>37460.434999999998</v>
      </c>
      <c r="Y251" s="6">
        <v>24676.417000000001</v>
      </c>
      <c r="Z251" s="6">
        <v>20017.674999999999</v>
      </c>
      <c r="AA251" s="6">
        <v>19473.125</v>
      </c>
      <c r="AB251" s="6">
        <v>16248.23</v>
      </c>
      <c r="AC251" s="6">
        <v>13792.085999999999</v>
      </c>
    </row>
    <row r="252" spans="23:29" x14ac:dyDescent="0.25">
      <c r="W252" t="s">
        <v>166</v>
      </c>
      <c r="X252" s="6">
        <v>26438.589</v>
      </c>
      <c r="Y252" s="6">
        <v>19179.393</v>
      </c>
      <c r="Z252" s="6">
        <v>16320.537</v>
      </c>
      <c r="AA252" s="6">
        <v>15993.523999999999</v>
      </c>
      <c r="AB252" s="6">
        <v>14154.937</v>
      </c>
      <c r="AC252" s="6">
        <v>12839.771000000001</v>
      </c>
    </row>
    <row r="253" spans="23:29" x14ac:dyDescent="0.25">
      <c r="W253" t="s">
        <v>492</v>
      </c>
      <c r="X253" s="6">
        <v>9707789.2369999979</v>
      </c>
      <c r="Y253" s="6">
        <v>8544417.6479999982</v>
      </c>
      <c r="Z253" s="6">
        <v>7973413.0429999959</v>
      </c>
      <c r="AA253" s="6">
        <v>7907601.026999997</v>
      </c>
      <c r="AB253" s="6">
        <v>7424809.7610000037</v>
      </c>
      <c r="AC253" s="6">
        <v>6983784.9999999981</v>
      </c>
    </row>
  </sheetData>
  <conditionalFormatting sqref="T1:T1048576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{107387D0-D914-4541-84A9-C4D402A54BEE}</x14:id>
        </ext>
      </extLst>
    </cfRule>
  </conditionalFormatting>
  <conditionalFormatting sqref="R1:R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59">
    <cfRule type="top10" dxfId="5" priority="3" percent="1" rank="30"/>
  </conditionalFormatting>
  <conditionalFormatting sqref="E2:O235">
    <cfRule type="top10" dxfId="3" priority="2" percent="1" rank="30"/>
  </conditionalFormatting>
  <conditionalFormatting sqref="P1:P235">
    <cfRule type="top10" dxfId="4" priority="1" percent="1" rank="30"/>
  </conditionalFormatting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7387D0-D914-4541-84A9-C4D402A54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1"/>
  <sheetViews>
    <sheetView tabSelected="1" workbookViewId="0">
      <selection activeCell="J23" sqref="J23"/>
    </sheetView>
  </sheetViews>
  <sheetFormatPr defaultRowHeight="15" x14ac:dyDescent="0.25"/>
  <cols>
    <col min="1" max="1" width="4.85546875" bestFit="1" customWidth="1"/>
    <col min="2" max="2" width="4.7109375" bestFit="1" customWidth="1"/>
    <col min="3" max="3" width="31.140625" bestFit="1" customWidth="1"/>
    <col min="4" max="4" width="13.28515625" bestFit="1" customWidth="1"/>
    <col min="6" max="6" width="9" bestFit="1" customWidth="1"/>
    <col min="7" max="7" width="11.7109375" bestFit="1" customWidth="1"/>
    <col min="10" max="10" width="33.140625" customWidth="1"/>
    <col min="11" max="11" width="11.42578125" customWidth="1"/>
    <col min="12" max="12" width="20.140625" customWidth="1"/>
    <col min="13" max="19" width="7.7109375" customWidth="1"/>
    <col min="20" max="54" width="6.7109375" customWidth="1"/>
    <col min="55" max="84" width="5.7109375" customWidth="1"/>
    <col min="85" max="90" width="4.7109375" customWidth="1"/>
    <col min="91" max="91" width="3.7109375" customWidth="1"/>
    <col min="92" max="92" width="2" customWidth="1"/>
    <col min="93" max="98" width="4" customWidth="1"/>
    <col min="99" max="116" width="5" customWidth="1"/>
    <col min="117" max="147" width="6" customWidth="1"/>
    <col min="148" max="160" width="7" customWidth="1"/>
    <col min="161" max="161" width="5.5703125" customWidth="1"/>
    <col min="162" max="162" width="11.28515625" bestFit="1" customWidth="1"/>
  </cols>
  <sheetData>
    <row r="1" spans="1:10" x14ac:dyDescent="0.25">
      <c r="A1" s="1" t="s">
        <v>18</v>
      </c>
      <c r="B1" s="1" t="s">
        <v>0</v>
      </c>
      <c r="C1" s="1" t="s">
        <v>1</v>
      </c>
      <c r="D1" s="1" t="s">
        <v>487</v>
      </c>
      <c r="E1" s="1" t="s">
        <v>489</v>
      </c>
      <c r="F1" s="1" t="s">
        <v>488</v>
      </c>
      <c r="G1" s="1" t="s">
        <v>490</v>
      </c>
    </row>
    <row r="2" spans="1:10" x14ac:dyDescent="0.25">
      <c r="A2" s="2">
        <v>1</v>
      </c>
      <c r="B2" s="2" t="s">
        <v>19</v>
      </c>
      <c r="C2" s="2" t="s">
        <v>20</v>
      </c>
      <c r="D2" s="2">
        <f>VLOOKUP(C2,'[1]World Population (2022) '!$B$2:$C$236,2,FALSE)</f>
        <v>-348399</v>
      </c>
      <c r="E2" s="2">
        <f>VLOOKUP(D2,'[1]World Population (2022) '!$C$2:$D$236,2,FALSE)</f>
        <v>1.7</v>
      </c>
      <c r="F2" s="2">
        <f>VLOOKUP(C2,'[1]World Population (2022) '!$B$2:$F$236,4,FALSE)</f>
        <v>38</v>
      </c>
      <c r="G2" s="4">
        <f>VLOOKUP(C2,'[1]World Population (2022) '!$B$2:$F$236,5,FALSE)</f>
        <v>0.61</v>
      </c>
    </row>
    <row r="3" spans="1:10" x14ac:dyDescent="0.25">
      <c r="A3" s="2">
        <v>2</v>
      </c>
      <c r="B3" s="2" t="s">
        <v>21</v>
      </c>
      <c r="C3" s="2" t="s">
        <v>22</v>
      </c>
      <c r="D3" s="2">
        <f>VLOOKUP(C3,'[1]World Population (2022) '!$B$2:$C$236,2,FALSE)</f>
        <v>-532687</v>
      </c>
      <c r="E3" s="2">
        <f>VLOOKUP(D3,'[1]World Population (2022) '!$C$2:$D$236,2,FALSE)</f>
        <v>2.2000000000000002</v>
      </c>
      <c r="F3" s="2">
        <f>VLOOKUP(C3,'[1]World Population (2022) '!$B$2:$F$236,4,FALSE)</f>
        <v>28</v>
      </c>
      <c r="G3" s="4">
        <f>VLOOKUP(C3,'[1]World Population (2022) '!$B$2:$F$236,5,FALSE)</f>
        <v>0.35</v>
      </c>
    </row>
    <row r="4" spans="1:10" x14ac:dyDescent="0.25">
      <c r="A4" s="2">
        <v>3</v>
      </c>
      <c r="B4" s="2" t="s">
        <v>23</v>
      </c>
      <c r="C4" s="2" t="s">
        <v>24</v>
      </c>
      <c r="D4" s="2">
        <f>VLOOKUP(C4,'[1]World Population (2022) '!$B$2:$C$236,2,FALSE)</f>
        <v>954806</v>
      </c>
      <c r="E4" s="2">
        <f>VLOOKUP(D4,'[1]World Population (2022) '!$C$2:$D$236,2,FALSE)</f>
        <v>1.8</v>
      </c>
      <c r="F4" s="2">
        <f>VLOOKUP(C4,'[1]World Population (2022) '!$B$2:$F$236,4,FALSE)</f>
        <v>38</v>
      </c>
      <c r="G4" s="4">
        <f>VLOOKUP(C4,'[1]World Population (2022) '!$B$2:$F$236,5,FALSE)</f>
        <v>0.83</v>
      </c>
    </row>
    <row r="5" spans="1:10" x14ac:dyDescent="0.25">
      <c r="A5" s="2">
        <v>4</v>
      </c>
      <c r="B5" s="2" t="s">
        <v>25</v>
      </c>
      <c r="C5" s="2" t="s">
        <v>26</v>
      </c>
      <c r="D5" s="2">
        <f>VLOOKUP(C5,'[1]World Population (2022) '!$B$2:$C$236,2,FALSE)</f>
        <v>-98955</v>
      </c>
      <c r="E5" s="2">
        <f>VLOOKUP(D5,'[1]World Population (2022) '!$C$2:$D$236,2,FALSE)</f>
        <v>2.2999999999999998</v>
      </c>
      <c r="F5" s="2">
        <f>VLOOKUP(C5,'[1]World Population (2022) '!$B$2:$F$236,4,FALSE)</f>
        <v>30</v>
      </c>
      <c r="G5" s="4">
        <f>VLOOKUP(C5,'[1]World Population (2022) '!$B$2:$F$236,5,FALSE)</f>
        <v>0.56000000000000005</v>
      </c>
    </row>
    <row r="6" spans="1:10" x14ac:dyDescent="0.25">
      <c r="A6" s="2">
        <v>5</v>
      </c>
      <c r="B6" s="2" t="s">
        <v>27</v>
      </c>
      <c r="C6" s="2" t="s">
        <v>28</v>
      </c>
      <c r="D6" s="2">
        <f>VLOOKUP(C6,'[1]World Population (2022) '!$B$2:$C$236,2,FALSE)</f>
        <v>-233379</v>
      </c>
      <c r="E6" s="2">
        <f>VLOOKUP(D6,'[1]World Population (2022) '!$C$2:$D$236,2,FALSE)</f>
        <v>3.6</v>
      </c>
      <c r="F6" s="2">
        <f>VLOOKUP(C6,'[1]World Population (2022) '!$B$2:$F$236,4,FALSE)</f>
        <v>23</v>
      </c>
      <c r="G6" s="4">
        <f>VLOOKUP(C6,'[1]World Population (2022) '!$B$2:$F$236,5,FALSE)</f>
        <v>0.35</v>
      </c>
    </row>
    <row r="7" spans="1:10" x14ac:dyDescent="0.25">
      <c r="A7" s="2">
        <v>6</v>
      </c>
      <c r="B7" s="2" t="s">
        <v>29</v>
      </c>
      <c r="C7" s="2" t="s">
        <v>30</v>
      </c>
      <c r="D7" s="2">
        <f>VLOOKUP(C7,'[1]World Population (2022) '!$B$2:$C$236,2,FALSE)</f>
        <v>-60000</v>
      </c>
      <c r="E7" s="2">
        <f>VLOOKUP(D7,'[1]World Population (2022) '!$C$2:$D$236,2,FALSE)</f>
        <v>5.4</v>
      </c>
      <c r="F7" s="2">
        <f>VLOOKUP(C7,'[1]World Population (2022) '!$B$2:$F$236,4,FALSE)</f>
        <v>18</v>
      </c>
      <c r="G7" s="4">
        <f>VLOOKUP(C7,'[1]World Population (2022) '!$B$2:$F$236,5,FALSE)</f>
        <v>0.52</v>
      </c>
      <c r="J7" s="8"/>
    </row>
    <row r="8" spans="1:10" x14ac:dyDescent="0.25">
      <c r="A8" s="2">
        <v>7</v>
      </c>
      <c r="B8" s="2" t="s">
        <v>31</v>
      </c>
      <c r="C8" s="2" t="s">
        <v>32</v>
      </c>
      <c r="D8" s="2">
        <f>VLOOKUP(C8,'[1]World Population (2022) '!$B$2:$C$236,2,FALSE)</f>
        <v>21200</v>
      </c>
      <c r="E8" s="2">
        <f>VLOOKUP(D8,'[1]World Population (2022) '!$C$2:$D$236,2,FALSE)</f>
        <v>1.7</v>
      </c>
      <c r="F8" s="2">
        <f>VLOOKUP(C8,'[1]World Population (2022) '!$B$2:$F$236,4,FALSE)</f>
        <v>33</v>
      </c>
      <c r="G8" s="4">
        <f>VLOOKUP(C8,'[1]World Population (2022) '!$B$2:$F$236,5,FALSE)</f>
        <v>0.88</v>
      </c>
      <c r="J8" s="8"/>
    </row>
    <row r="9" spans="1:10" x14ac:dyDescent="0.25">
      <c r="A9" s="2">
        <v>8</v>
      </c>
      <c r="B9" s="2" t="s">
        <v>33</v>
      </c>
      <c r="C9" s="2" t="s">
        <v>34</v>
      </c>
      <c r="D9" s="2">
        <f>VLOOKUP(C9,'[1]World Population (2022) '!$B$2:$C$236,2,FALSE)</f>
        <v>-369501</v>
      </c>
      <c r="E9" s="2">
        <f>VLOOKUP(D9,'[1]World Population (2022) '!$C$2:$D$236,2,FALSE)</f>
        <v>2.1</v>
      </c>
      <c r="F9" s="2">
        <f>VLOOKUP(C9,'[1]World Population (2022) '!$B$2:$F$236,4,FALSE)</f>
        <v>28</v>
      </c>
      <c r="G9" s="4">
        <f>VLOOKUP(C9,'[1]World Population (2022) '!$B$2:$F$236,5,FALSE)</f>
        <v>0.39</v>
      </c>
      <c r="J9" s="8"/>
    </row>
    <row r="10" spans="1:10" x14ac:dyDescent="0.25">
      <c r="A10" s="2">
        <v>9</v>
      </c>
      <c r="B10" s="2" t="s">
        <v>35</v>
      </c>
      <c r="C10" s="2" t="s">
        <v>36</v>
      </c>
      <c r="D10" s="2">
        <f>VLOOKUP(C10,'[1]World Population (2022) '!$B$2:$C$236,2,FALSE)</f>
        <v>182456</v>
      </c>
      <c r="E10" s="2">
        <f>VLOOKUP(D10,'[1]World Population (2022) '!$C$2:$D$236,2,FALSE)</f>
        <v>1.8</v>
      </c>
      <c r="F10" s="2">
        <f>VLOOKUP(C10,'[1]World Population (2022) '!$B$2:$F$236,4,FALSE)</f>
        <v>40</v>
      </c>
      <c r="G10" s="4">
        <f>VLOOKUP(C10,'[1]World Population (2022) '!$B$2:$F$236,5,FALSE)</f>
        <v>0.74</v>
      </c>
      <c r="J10" s="8"/>
    </row>
    <row r="11" spans="1:10" x14ac:dyDescent="0.25">
      <c r="A11" s="2">
        <v>10</v>
      </c>
      <c r="B11" s="2" t="s">
        <v>37</v>
      </c>
      <c r="C11" s="2" t="s">
        <v>38</v>
      </c>
      <c r="D11" s="2">
        <f>VLOOKUP(C11,'[1]World Population (2022) '!$B$2:$C$236,2,FALSE)</f>
        <v>-60000</v>
      </c>
      <c r="E11" s="2">
        <f>VLOOKUP(D11,'[1]World Population (2022) '!$C$2:$D$236,2,FALSE)</f>
        <v>5.4</v>
      </c>
      <c r="F11" s="2">
        <f>VLOOKUP(C11,'[1]World Population (2022) '!$B$2:$F$236,4,FALSE)</f>
        <v>29</v>
      </c>
      <c r="G11" s="4">
        <f>VLOOKUP(C11,'[1]World Population (2022) '!$B$2:$F$236,5,FALSE)</f>
        <v>0.84</v>
      </c>
      <c r="J11" s="8"/>
    </row>
    <row r="12" spans="1:10" x14ac:dyDescent="0.25">
      <c r="A12" s="2">
        <v>11</v>
      </c>
      <c r="B12" s="2" t="s">
        <v>39</v>
      </c>
      <c r="C12" s="2" t="s">
        <v>40</v>
      </c>
      <c r="D12" s="2">
        <f>VLOOKUP(C12,'[1]World Population (2022) '!$B$2:$C$236,2,FALSE)</f>
        <v>71560</v>
      </c>
      <c r="E12" s="2">
        <f>VLOOKUP(D12,'[1]World Population (2022) '!$C$2:$D$236,2,FALSE)</f>
        <v>1.4</v>
      </c>
      <c r="F12" s="2">
        <f>VLOOKUP(C12,'[1]World Population (2022) '!$B$2:$F$236,4,FALSE)</f>
        <v>48</v>
      </c>
      <c r="G12" s="4">
        <f>VLOOKUP(C12,'[1]World Population (2022) '!$B$2:$F$236,5,FALSE)</f>
        <v>0.92</v>
      </c>
      <c r="J12" s="8"/>
    </row>
    <row r="13" spans="1:10" x14ac:dyDescent="0.25">
      <c r="A13" s="2">
        <v>12</v>
      </c>
      <c r="B13" s="2" t="s">
        <v>41</v>
      </c>
      <c r="C13" s="2" t="s">
        <v>42</v>
      </c>
      <c r="D13" s="2">
        <f>VLOOKUP(C13,'[1]World Population (2022) '!$B$2:$C$236,2,FALSE)</f>
        <v>30000</v>
      </c>
      <c r="E13" s="2">
        <f>VLOOKUP(D13,'[1]World Population (2022) '!$C$2:$D$236,2,FALSE)</f>
        <v>4.3</v>
      </c>
      <c r="F13" s="2">
        <f>VLOOKUP(C13,'[1]World Population (2022) '!$B$2:$F$236,4,FALSE)</f>
        <v>19</v>
      </c>
      <c r="G13" s="4">
        <f>VLOOKUP(C13,'[1]World Population (2022) '!$B$2:$F$236,5,FALSE)</f>
        <v>0.21</v>
      </c>
      <c r="J13" s="8"/>
    </row>
    <row r="14" spans="1:10" x14ac:dyDescent="0.25">
      <c r="A14" s="2">
        <v>13</v>
      </c>
      <c r="B14" s="2" t="s">
        <v>43</v>
      </c>
      <c r="C14" s="2" t="s">
        <v>44</v>
      </c>
      <c r="D14" s="2">
        <f>VLOOKUP(C14,'[1]World Population (2022) '!$B$2:$C$236,2,FALSE)</f>
        <v>-67152</v>
      </c>
      <c r="E14" s="2">
        <f>VLOOKUP(D14,'[1]World Population (2022) '!$C$2:$D$236,2,FALSE)</f>
        <v>2.6</v>
      </c>
      <c r="F14" s="2">
        <f>VLOOKUP(C14,'[1]World Population (2022) '!$B$2:$F$236,4,FALSE)</f>
        <v>26</v>
      </c>
      <c r="G14" s="4">
        <f>VLOOKUP(C14,'[1]World Population (2022) '!$B$2:$F$236,5,FALSE)</f>
        <v>0.47</v>
      </c>
      <c r="J14" s="8"/>
    </row>
    <row r="15" spans="1:10" x14ac:dyDescent="0.25">
      <c r="A15" s="2">
        <v>14</v>
      </c>
      <c r="B15" s="2" t="s">
        <v>45</v>
      </c>
      <c r="C15" s="2" t="s">
        <v>46</v>
      </c>
      <c r="D15" s="2">
        <f>VLOOKUP(C15,'[1]World Population (2022) '!$B$2:$C$236,2,FALSE)</f>
        <v>-38033</v>
      </c>
      <c r="E15" s="2">
        <f>VLOOKUP(D15,'[1]World Population (2022) '!$C$2:$D$236,2,FALSE)</f>
        <v>3.3</v>
      </c>
      <c r="F15" s="2">
        <f>VLOOKUP(C15,'[1]World Population (2022) '!$B$2:$F$236,4,FALSE)</f>
        <v>25</v>
      </c>
      <c r="G15" s="4">
        <f>VLOOKUP(C15,'[1]World Population (2022) '!$B$2:$F$236,5,FALSE)</f>
        <v>0.43</v>
      </c>
      <c r="J15" s="8"/>
    </row>
    <row r="16" spans="1:10" x14ac:dyDescent="0.25">
      <c r="A16" s="2">
        <v>15</v>
      </c>
      <c r="B16" s="2" t="s">
        <v>47</v>
      </c>
      <c r="C16" s="2" t="s">
        <v>48</v>
      </c>
      <c r="D16" s="2">
        <f>VLOOKUP(C16,'[1]World Population (2022) '!$B$2:$C$236,2,FALSE)</f>
        <v>23861</v>
      </c>
      <c r="E16" s="2">
        <f>VLOOKUP(D16,'[1]World Population (2022) '!$C$2:$D$236,2,FALSE)</f>
        <v>6</v>
      </c>
      <c r="F16" s="2">
        <f>VLOOKUP(C16,'[1]World Population (2022) '!$B$2:$F$236,4,FALSE)</f>
        <v>17</v>
      </c>
      <c r="G16" s="4">
        <f>VLOOKUP(C16,'[1]World Population (2022) '!$B$2:$F$236,5,FALSE)</f>
        <v>0.46</v>
      </c>
      <c r="J16" s="8"/>
    </row>
    <row r="17" spans="1:10" x14ac:dyDescent="0.25">
      <c r="A17" s="2">
        <v>16</v>
      </c>
      <c r="B17" s="2" t="s">
        <v>49</v>
      </c>
      <c r="C17" s="2" t="s">
        <v>50</v>
      </c>
      <c r="D17" s="2">
        <f>VLOOKUP(C17,'[1]World Population (2022) '!$B$2:$C$236,2,FALSE)</f>
        <v>-80000</v>
      </c>
      <c r="E17" s="2">
        <f>VLOOKUP(D17,'[1]World Population (2022) '!$C$2:$D$236,2,FALSE)</f>
        <v>2.1</v>
      </c>
      <c r="F17" s="2">
        <f>VLOOKUP(C17,'[1]World Population (2022) '!$B$2:$F$236,4,FALSE)</f>
        <v>32</v>
      </c>
      <c r="G17" s="4">
        <f>VLOOKUP(C17,'[1]World Population (2022) '!$B$2:$F$236,5,FALSE)</f>
        <v>0.38</v>
      </c>
      <c r="J17" s="8"/>
    </row>
    <row r="18" spans="1:10" x14ac:dyDescent="0.25">
      <c r="A18" s="2">
        <v>17</v>
      </c>
      <c r="B18" s="2" t="s">
        <v>51</v>
      </c>
      <c r="C18" s="2" t="s">
        <v>52</v>
      </c>
      <c r="D18" s="2">
        <f>VLOOKUP(C18,'[1]World Population (2022) '!$B$2:$C$236,2,FALSE)</f>
        <v>-55000</v>
      </c>
      <c r="E18" s="2">
        <f>VLOOKUP(D18,'[1]World Population (2022) '!$C$2:$D$236,2,FALSE)</f>
        <v>2.2000000000000002</v>
      </c>
      <c r="F18" s="2">
        <f>VLOOKUP(C18,'[1]World Population (2022) '!$B$2:$F$236,4,FALSE)</f>
        <v>32</v>
      </c>
      <c r="G18" s="4">
        <f>VLOOKUP(C18,'[1]World Population (2022) '!$B$2:$F$236,5,FALSE)</f>
        <v>0.76</v>
      </c>
      <c r="J18" s="8"/>
    </row>
    <row r="19" spans="1:10" x14ac:dyDescent="0.25">
      <c r="A19" s="2">
        <v>18</v>
      </c>
      <c r="B19" s="2" t="s">
        <v>53</v>
      </c>
      <c r="C19" s="2" t="s">
        <v>54</v>
      </c>
      <c r="D19" s="2">
        <f>VLOOKUP(C19,'[1]World Population (2022) '!$B$2:$C$236,2,FALSE)</f>
        <v>283922</v>
      </c>
      <c r="E19" s="2">
        <f>VLOOKUP(D19,'[1]World Population (2022) '!$C$2:$D$236,2,FALSE)</f>
        <v>2.1</v>
      </c>
      <c r="F19" s="2">
        <f>VLOOKUP(C19,'[1]World Population (2022) '!$B$2:$F$236,4,FALSE)</f>
        <v>32</v>
      </c>
      <c r="G19" s="4">
        <f>VLOOKUP(C19,'[1]World Population (2022) '!$B$2:$F$236,5,FALSE)</f>
        <v>0.76</v>
      </c>
      <c r="J19" s="8"/>
    </row>
    <row r="20" spans="1:10" x14ac:dyDescent="0.25">
      <c r="A20" s="2">
        <v>19</v>
      </c>
      <c r="B20" s="2" t="s">
        <v>55</v>
      </c>
      <c r="C20" s="2" t="s">
        <v>56</v>
      </c>
      <c r="D20" s="2">
        <f>VLOOKUP(C20,'[1]World Population (2022) '!$B$2:$C$236,2,FALSE)</f>
        <v>543822</v>
      </c>
      <c r="E20" s="2">
        <f>VLOOKUP(D20,'[1]World Population (2022) '!$C$2:$D$236,2,FALSE)</f>
        <v>1.6</v>
      </c>
      <c r="F20" s="2">
        <f>VLOOKUP(C20,'[1]World Population (2022) '!$B$2:$F$236,4,FALSE)</f>
        <v>46</v>
      </c>
      <c r="G20" s="4">
        <f>VLOOKUP(C20,'[1]World Population (2022) '!$B$2:$F$236,5,FALSE)</f>
        <v>0.76</v>
      </c>
      <c r="J20" s="8"/>
    </row>
    <row r="21" spans="1:10" x14ac:dyDescent="0.25">
      <c r="A21" s="2">
        <v>20</v>
      </c>
      <c r="B21" s="2" t="s">
        <v>57</v>
      </c>
      <c r="C21" s="2" t="s">
        <v>58</v>
      </c>
      <c r="D21" s="2">
        <f>VLOOKUP(C21,'[1]World Population (2022) '!$B$2:$C$236,2,FALSE)</f>
        <v>19444</v>
      </c>
      <c r="E21" s="2">
        <f>VLOOKUP(D21,'[1]World Population (2022) '!$C$2:$D$236,2,FALSE)</f>
        <v>1.5</v>
      </c>
      <c r="F21" s="2">
        <f>VLOOKUP(C21,'[1]World Population (2022) '!$B$2:$F$236,4,FALSE)</f>
        <v>40</v>
      </c>
      <c r="G21" s="4">
        <f>VLOOKUP(C21,'[1]World Population (2022) '!$B$2:$F$236,5,FALSE)</f>
        <v>0.51</v>
      </c>
      <c r="J21" s="8"/>
    </row>
    <row r="22" spans="1:10" x14ac:dyDescent="0.25">
      <c r="A22" s="2">
        <v>21</v>
      </c>
      <c r="B22" s="2" t="s">
        <v>59</v>
      </c>
      <c r="C22" s="2" t="s">
        <v>60</v>
      </c>
      <c r="D22" s="2">
        <f>VLOOKUP(C22,'[1]World Population (2022) '!$B$2:$C$236,2,FALSE)</f>
        <v>260650</v>
      </c>
      <c r="E22" s="2">
        <f>VLOOKUP(D22,'[1]World Population (2022) '!$C$2:$D$236,2,FALSE)</f>
        <v>1.8</v>
      </c>
      <c r="F22" s="2">
        <f>VLOOKUP(C22,'[1]World Population (2022) '!$B$2:$F$236,4,FALSE)</f>
        <v>40</v>
      </c>
      <c r="G22" s="4">
        <f>VLOOKUP(C22,'[1]World Population (2022) '!$B$2:$F$236,5,FALSE)</f>
        <v>0.83</v>
      </c>
      <c r="J22" s="8"/>
    </row>
    <row r="23" spans="1:10" x14ac:dyDescent="0.25">
      <c r="A23" s="2">
        <v>22</v>
      </c>
      <c r="B23" s="2" t="s">
        <v>61</v>
      </c>
      <c r="C23" s="2" t="s">
        <v>62</v>
      </c>
      <c r="D23" s="2">
        <f>VLOOKUP(C23,'[1]World Population (2022) '!$B$2:$C$236,2,FALSE)</f>
        <v>-40076</v>
      </c>
      <c r="E23" s="2">
        <f>VLOOKUP(D23,'[1]World Population (2022) '!$C$2:$D$236,2,FALSE)</f>
        <v>4.9000000000000004</v>
      </c>
      <c r="F23" s="2">
        <f>VLOOKUP(C23,'[1]World Population (2022) '!$B$2:$F$236,4,FALSE)</f>
        <v>18</v>
      </c>
      <c r="G23" s="4">
        <f>VLOOKUP(C23,'[1]World Population (2022) '!$B$2:$F$236,5,FALSE)</f>
        <v>0.37</v>
      </c>
      <c r="J23" s="8"/>
    </row>
    <row r="24" spans="1:10" x14ac:dyDescent="0.25">
      <c r="A24" s="2">
        <v>23</v>
      </c>
      <c r="B24" s="2" t="s">
        <v>63</v>
      </c>
      <c r="C24" s="2" t="s">
        <v>64</v>
      </c>
      <c r="D24" s="2">
        <f>VLOOKUP(C24,'[1]World Population (2022) '!$B$2:$C$236,2,FALSE)</f>
        <v>36527</v>
      </c>
      <c r="E24" s="2">
        <f>VLOOKUP(D24,'[1]World Population (2022) '!$C$2:$D$236,2,FALSE)</f>
        <v>1.9</v>
      </c>
      <c r="F24" s="2">
        <f>VLOOKUP(C24,'[1]World Population (2022) '!$B$2:$F$236,4,FALSE)</f>
        <v>42</v>
      </c>
      <c r="G24" s="4">
        <f>VLOOKUP(C24,'[1]World Population (2022) '!$B$2:$F$236,5,FALSE)</f>
        <v>0.82</v>
      </c>
      <c r="J24" s="8"/>
    </row>
    <row r="25" spans="1:10" x14ac:dyDescent="0.25">
      <c r="A25" s="2">
        <v>24</v>
      </c>
      <c r="B25" s="2" t="s">
        <v>65</v>
      </c>
      <c r="C25" s="2" t="s">
        <v>66</v>
      </c>
      <c r="D25" s="2">
        <f>VLOOKUP(C25,'[1]World Population (2022) '!$B$2:$C$236,2,FALSE)</f>
        <v>145405</v>
      </c>
      <c r="E25" s="2">
        <f>VLOOKUP(D25,'[1]World Population (2022) '!$C$2:$D$236,2,FALSE)</f>
        <v>2.4</v>
      </c>
      <c r="F25" s="2">
        <f>VLOOKUP(C25,'[1]World Population (2022) '!$B$2:$F$236,4,FALSE)</f>
        <v>28</v>
      </c>
      <c r="G25" s="4">
        <f>VLOOKUP(C25,'[1]World Population (2022) '!$B$2:$F$236,5,FALSE)</f>
        <v>0.67</v>
      </c>
      <c r="J25" s="8"/>
    </row>
    <row r="26" spans="1:10" x14ac:dyDescent="0.25">
      <c r="A26" s="2">
        <v>25</v>
      </c>
      <c r="B26" s="2" t="s">
        <v>67</v>
      </c>
      <c r="C26" s="2" t="s">
        <v>68</v>
      </c>
      <c r="D26" s="2">
        <f>VLOOKUP(C26,'[1]World Population (2022) '!$B$2:$C$236,2,FALSE)</f>
        <v>148943</v>
      </c>
      <c r="E26" s="2">
        <f>VLOOKUP(D26,'[1]World Population (2022) '!$C$2:$D$236,2,FALSE)</f>
        <v>1.3</v>
      </c>
      <c r="F26" s="2">
        <f>VLOOKUP(C26,'[1]World Population (2022) '!$B$2:$F$236,4,FALSE)</f>
        <v>47</v>
      </c>
      <c r="G26" s="4">
        <f>VLOOKUP(C26,'[1]World Population (2022) '!$B$2:$F$236,5,FALSE)</f>
        <v>0.69</v>
      </c>
      <c r="J26" s="8"/>
    </row>
    <row r="27" spans="1:10" x14ac:dyDescent="0.25">
      <c r="A27" s="2">
        <v>26</v>
      </c>
      <c r="B27" s="2" t="s">
        <v>69</v>
      </c>
      <c r="C27" s="2" t="s">
        <v>70</v>
      </c>
      <c r="D27" s="2">
        <f>VLOOKUP(C27,'[1]World Population (2022) '!$B$2:$C$236,2,FALSE)</f>
        <v>-163313</v>
      </c>
      <c r="E27" s="2">
        <f>VLOOKUP(D27,'[1]World Population (2022) '!$C$2:$D$236,2,FALSE)</f>
        <v>2.2000000000000002</v>
      </c>
      <c r="F27" s="2">
        <f>VLOOKUP(C27,'[1]World Population (2022) '!$B$2:$F$236,4,FALSE)</f>
        <v>29</v>
      </c>
      <c r="G27" s="4">
        <f>VLOOKUP(C27,'[1]World Population (2022) '!$B$2:$F$236,5,FALSE)</f>
        <v>0.31</v>
      </c>
      <c r="J27" s="8"/>
    </row>
    <row r="28" spans="1:10" x14ac:dyDescent="0.25">
      <c r="A28" s="2">
        <v>27</v>
      </c>
      <c r="B28" s="2" t="s">
        <v>71</v>
      </c>
      <c r="C28" s="2" t="s">
        <v>72</v>
      </c>
      <c r="D28" s="2">
        <f>VLOOKUP(C28,'[1]World Population (2022) '!$B$2:$C$236,2,FALSE)</f>
        <v>-10000</v>
      </c>
      <c r="E28" s="2">
        <f>VLOOKUP(D28,'[1]World Population (2022) '!$C$2:$D$236,2,FALSE)</f>
        <v>3.5</v>
      </c>
      <c r="F28" s="2">
        <f>VLOOKUP(C28,'[1]World Population (2022) '!$B$2:$F$236,4,FALSE)</f>
        <v>20</v>
      </c>
      <c r="G28" s="4">
        <f>VLOOKUP(C28,'[1]World Population (2022) '!$B$2:$F$236,5,FALSE)</f>
        <v>0.28000000000000003</v>
      </c>
      <c r="J28" s="8"/>
    </row>
    <row r="29" spans="1:10" x14ac:dyDescent="0.25">
      <c r="A29" s="2">
        <v>28</v>
      </c>
      <c r="B29" s="2" t="s">
        <v>73</v>
      </c>
      <c r="C29" s="2" t="s">
        <v>74</v>
      </c>
      <c r="D29" s="2">
        <f>VLOOKUP(C29,'[1]World Population (2022) '!$B$2:$C$236,2,FALSE)</f>
        <v>204796</v>
      </c>
      <c r="E29" s="2">
        <f>VLOOKUP(D29,'[1]World Population (2022) '!$C$2:$D$236,2,FALSE)</f>
        <v>1.8</v>
      </c>
      <c r="F29" s="2">
        <f>VLOOKUP(C29,'[1]World Population (2022) '!$B$2:$F$236,4,FALSE)</f>
        <v>31</v>
      </c>
      <c r="G29" s="4">
        <f>VLOOKUP(C29,'[1]World Population (2022) '!$B$2:$F$236,5,FALSE)</f>
        <v>0.8</v>
      </c>
      <c r="J29" s="8"/>
    </row>
    <row r="30" spans="1:10" x14ac:dyDescent="0.25">
      <c r="A30" s="2">
        <v>29</v>
      </c>
      <c r="B30" s="2" t="s">
        <v>75</v>
      </c>
      <c r="C30" s="2" t="s">
        <v>76</v>
      </c>
      <c r="D30" s="2">
        <f>VLOOKUP(C30,'[1]World Population (2022) '!$B$2:$C$236,2,FALSE)</f>
        <v>11731</v>
      </c>
      <c r="E30" s="2">
        <f>VLOOKUP(D30,'[1]World Population (2022) '!$C$2:$D$236,2,FALSE)</f>
        <v>1.1000000000000001</v>
      </c>
      <c r="F30" s="2">
        <f>VLOOKUP(C30,'[1]World Population (2022) '!$B$2:$F$236,4,FALSE)</f>
        <v>44</v>
      </c>
      <c r="G30" s="4">
        <f>VLOOKUP(C30,'[1]World Population (2022) '!$B$2:$F$236,5,FALSE)</f>
        <v>0.82</v>
      </c>
      <c r="J30" s="8"/>
    </row>
    <row r="31" spans="1:10" x14ac:dyDescent="0.25">
      <c r="A31" s="2">
        <v>30</v>
      </c>
      <c r="B31" s="2" t="s">
        <v>77</v>
      </c>
      <c r="C31" s="2" t="s">
        <v>78</v>
      </c>
      <c r="D31" s="2">
        <f>VLOOKUP(C31,'[1]World Population (2022) '!$B$2:$C$236,2,FALSE)</f>
        <v>40000</v>
      </c>
      <c r="E31" s="2">
        <f>VLOOKUP(D31,'[1]World Population (2022) '!$C$2:$D$236,2,FALSE)</f>
        <v>1.3</v>
      </c>
      <c r="F31" s="2">
        <f>VLOOKUP(C31,'[1]World Population (2022) '!$B$2:$F$236,4,FALSE)</f>
        <v>45</v>
      </c>
      <c r="G31" s="4">
        <f>VLOOKUP(C31,'[1]World Population (2022) '!$B$2:$F$236,5,FALSE)</f>
        <v>0.8</v>
      </c>
      <c r="J31" s="8"/>
    </row>
    <row r="32" spans="1:10" x14ac:dyDescent="0.25">
      <c r="A32" s="2">
        <v>31</v>
      </c>
      <c r="B32" s="2" t="s">
        <v>79</v>
      </c>
      <c r="C32" s="2" t="s">
        <v>80</v>
      </c>
      <c r="D32" s="2">
        <f>VLOOKUP(C32,'[1]World Population (2022) '!$B$2:$C$236,2,FALSE)</f>
        <v>168694</v>
      </c>
      <c r="E32" s="2">
        <f>VLOOKUP(D32,'[1]World Population (2022) '!$C$2:$D$236,2,FALSE)</f>
        <v>5</v>
      </c>
      <c r="F32" s="2">
        <f>VLOOKUP(C32,'[1]World Population (2022) '!$B$2:$F$236,4,FALSE)</f>
        <v>17</v>
      </c>
      <c r="G32" s="4">
        <f>VLOOKUP(C32,'[1]World Population (2022) '!$B$2:$F$236,5,FALSE)</f>
        <v>0.26</v>
      </c>
      <c r="J32" s="8"/>
    </row>
    <row r="33" spans="1:10" x14ac:dyDescent="0.25">
      <c r="A33" s="2">
        <v>32</v>
      </c>
      <c r="B33" s="2" t="s">
        <v>81</v>
      </c>
      <c r="C33" s="2" t="s">
        <v>82</v>
      </c>
      <c r="D33" s="2">
        <f>VLOOKUP(C33,'[1]World Population (2022) '!$B$2:$C$236,2,FALSE)</f>
        <v>-50000</v>
      </c>
      <c r="E33" s="2">
        <f>VLOOKUP(D33,'[1]World Population (2022) '!$C$2:$D$236,2,FALSE)</f>
        <v>4.4000000000000004</v>
      </c>
      <c r="F33" s="2">
        <f>VLOOKUP(C33,'[1]World Population (2022) '!$B$2:$F$236,4,FALSE)</f>
        <v>20</v>
      </c>
      <c r="G33" s="4">
        <f>VLOOKUP(C33,'[1]World Population (2022) '!$B$2:$F$236,5,FALSE)</f>
        <v>0.35</v>
      </c>
      <c r="J33" s="8"/>
    </row>
    <row r="34" spans="1:10" x14ac:dyDescent="0.25">
      <c r="A34" s="2">
        <v>33</v>
      </c>
      <c r="B34" s="2" t="s">
        <v>83</v>
      </c>
      <c r="C34" s="2" t="s">
        <v>84</v>
      </c>
      <c r="D34" s="2">
        <f>VLOOKUP(C34,'[1]World Population (2022) '!$B$2:$C$236,2,FALSE)</f>
        <v>4800</v>
      </c>
      <c r="E34" s="2">
        <f>VLOOKUP(D34,'[1]World Population (2022) '!$C$2:$D$236,2,FALSE)</f>
        <v>2.2999999999999998</v>
      </c>
      <c r="F34" s="2">
        <f>VLOOKUP(C34,'[1]World Population (2022) '!$B$2:$F$236,4,FALSE)</f>
        <v>32</v>
      </c>
      <c r="G34" s="4">
        <f>VLOOKUP(C34,'[1]World Population (2022) '!$B$2:$F$236,5,FALSE)</f>
        <v>0.93</v>
      </c>
      <c r="J34" s="8"/>
    </row>
    <row r="35" spans="1:10" x14ac:dyDescent="0.25">
      <c r="A35" s="2">
        <v>34</v>
      </c>
      <c r="B35" s="2" t="s">
        <v>85</v>
      </c>
      <c r="C35" s="2" t="s">
        <v>86</v>
      </c>
      <c r="D35" s="2">
        <f>VLOOKUP(C35,'[1]World Population (2022) '!$B$2:$C$236,2,FALSE)</f>
        <v>-10000</v>
      </c>
      <c r="E35" s="2">
        <f>VLOOKUP(D35,'[1]World Population (2022) '!$C$2:$D$236,2,FALSE)</f>
        <v>3.5</v>
      </c>
      <c r="F35" s="2">
        <f>VLOOKUP(C35,'[1]World Population (2022) '!$B$2:$F$236,4,FALSE)</f>
        <v>29</v>
      </c>
      <c r="G35" s="4">
        <f>VLOOKUP(C35,'[1]World Population (2022) '!$B$2:$F$236,5,FALSE)</f>
        <v>0.73</v>
      </c>
      <c r="J35" s="8"/>
    </row>
    <row r="36" spans="1:10" x14ac:dyDescent="0.25">
      <c r="A36" s="2">
        <v>35</v>
      </c>
      <c r="B36" s="2" t="s">
        <v>87</v>
      </c>
      <c r="C36" s="2" t="s">
        <v>88</v>
      </c>
      <c r="D36" s="2">
        <f>VLOOKUP(C36,'[1]World Population (2022) '!$B$2:$C$236,2,FALSE)</f>
        <v>7834</v>
      </c>
      <c r="E36" s="2">
        <f>VLOOKUP(D36,'[1]World Population (2022) '!$C$2:$D$236,2,FALSE)</f>
        <v>3.7</v>
      </c>
      <c r="F36" s="2">
        <f>VLOOKUP(C36,'[1]World Population (2022) '!$B$2:$F$236,4,FALSE)</f>
        <v>21</v>
      </c>
      <c r="G36" s="4">
        <f>VLOOKUP(C36,'[1]World Population (2022) '!$B$2:$F$236,5,FALSE)</f>
        <v>0.73</v>
      </c>
      <c r="J36" s="8"/>
    </row>
    <row r="37" spans="1:10" x14ac:dyDescent="0.25">
      <c r="A37" s="2">
        <v>36</v>
      </c>
      <c r="B37" s="2" t="s">
        <v>89</v>
      </c>
      <c r="C37" s="2" t="s">
        <v>90</v>
      </c>
      <c r="D37" s="2">
        <f>VLOOKUP(C37,'[1]World Population (2022) '!$B$2:$C$236,2,FALSE)</f>
        <v>-62920</v>
      </c>
      <c r="E37" s="2">
        <f>VLOOKUP(D37,'[1]World Population (2022) '!$C$2:$D$236,2,FALSE)</f>
        <v>4.5999999999999996</v>
      </c>
      <c r="F37" s="2">
        <f>VLOOKUP(C37,'[1]World Population (2022) '!$B$2:$F$236,4,FALSE)</f>
        <v>18</v>
      </c>
      <c r="G37" s="4">
        <f>VLOOKUP(C37,'[1]World Population (2022) '!$B$2:$F$236,5,FALSE)</f>
        <v>0.25</v>
      </c>
      <c r="J37" s="8"/>
    </row>
    <row r="38" spans="1:10" x14ac:dyDescent="0.25">
      <c r="A38" s="2">
        <v>37</v>
      </c>
      <c r="B38" s="2" t="s">
        <v>91</v>
      </c>
      <c r="C38" s="2" t="s">
        <v>92</v>
      </c>
      <c r="D38" s="2">
        <f>VLOOKUP(C38,'[1]World Population (2022) '!$B$2:$C$236,2,FALSE)</f>
        <v>-29395</v>
      </c>
      <c r="E38" s="2">
        <f>VLOOKUP(D38,'[1]World Population (2022) '!$C$2:$D$236,2,FALSE)</f>
        <v>1.4</v>
      </c>
      <c r="F38" s="2">
        <f>VLOOKUP(C38,'[1]World Population (2022) '!$B$2:$F$236,4,FALSE)</f>
        <v>42</v>
      </c>
      <c r="G38" s="4">
        <f>VLOOKUP(C38,'[1]World Population (2022) '!$B$2:$F$236,5,FALSE)</f>
        <v>0.6</v>
      </c>
      <c r="J38" s="8"/>
    </row>
    <row r="39" spans="1:10" x14ac:dyDescent="0.25">
      <c r="A39" s="2">
        <v>38</v>
      </c>
      <c r="B39" s="2" t="s">
        <v>93</v>
      </c>
      <c r="C39" s="2" t="s">
        <v>94</v>
      </c>
      <c r="D39" s="2">
        <f>VLOOKUP(C39,'[1]World Population (2022) '!$B$2:$C$236,2,FALSE)</f>
        <v>10000</v>
      </c>
      <c r="E39" s="2">
        <f>VLOOKUP(D39,'[1]World Population (2022) '!$C$2:$D$236,2,FALSE)</f>
        <v>1.4</v>
      </c>
      <c r="F39" s="2">
        <f>VLOOKUP(C39,'[1]World Population (2022) '!$B$2:$F$236,4,FALSE)</f>
        <v>41</v>
      </c>
      <c r="G39" s="4">
        <f>VLOOKUP(C39,'[1]World Population (2022) '!$B$2:$F$236,5,FALSE)</f>
        <v>0.69</v>
      </c>
      <c r="J39" s="8"/>
    </row>
    <row r="40" spans="1:10" x14ac:dyDescent="0.25">
      <c r="A40" s="2">
        <v>39</v>
      </c>
      <c r="B40" s="2" t="s">
        <v>95</v>
      </c>
      <c r="C40" s="2" t="s">
        <v>96</v>
      </c>
      <c r="D40" s="2">
        <f>VLOOKUP(C40,'[1]World Population (2022) '!$B$2:$C$236,2,FALSE)</f>
        <v>242032</v>
      </c>
      <c r="E40" s="2">
        <f>VLOOKUP(D40,'[1]World Population (2022) '!$C$2:$D$236,2,FALSE)</f>
        <v>1.5</v>
      </c>
      <c r="F40" s="2">
        <f>VLOOKUP(C40,'[1]World Population (2022) '!$B$2:$F$236,4,FALSE)</f>
        <v>41</v>
      </c>
      <c r="G40" s="4">
        <f>VLOOKUP(C40,'[1]World Population (2022) '!$B$2:$F$236,5,FALSE)</f>
        <v>0.81</v>
      </c>
      <c r="J40" s="8"/>
    </row>
    <row r="41" spans="1:10" x14ac:dyDescent="0.25">
      <c r="A41" s="2">
        <v>40</v>
      </c>
      <c r="B41" s="2" t="s">
        <v>97</v>
      </c>
      <c r="C41" s="2" t="s">
        <v>98</v>
      </c>
      <c r="D41" s="2">
        <f>VLOOKUP(C41,'[1]World Population (2022) '!$B$2:$C$236,2,FALSE)</f>
        <v>-51419</v>
      </c>
      <c r="E41" s="2">
        <f>VLOOKUP(D41,'[1]World Population (2022) '!$C$2:$D$236,2,FALSE)</f>
        <v>2.4</v>
      </c>
      <c r="F41" s="2">
        <f>VLOOKUP(C41,'[1]World Population (2022) '!$B$2:$F$236,4,FALSE)</f>
        <v>30</v>
      </c>
      <c r="G41" s="4">
        <f>VLOOKUP(C41,'[1]World Population (2022) '!$B$2:$F$236,5,FALSE)</f>
        <v>0.64</v>
      </c>
      <c r="J41" s="8"/>
    </row>
    <row r="42" spans="1:10" x14ac:dyDescent="0.25">
      <c r="A42" s="2">
        <v>41</v>
      </c>
      <c r="B42" s="2" t="s">
        <v>99</v>
      </c>
      <c r="C42" s="2" t="s">
        <v>100</v>
      </c>
      <c r="D42" s="2">
        <f>VLOOKUP(C42,'[1]World Population (2022) '!$B$2:$C$236,2,FALSE)</f>
        <v>134979</v>
      </c>
      <c r="E42" s="2">
        <f>VLOOKUP(D42,'[1]World Population (2022) '!$C$2:$D$236,2,FALSE)</f>
        <v>2.2999999999999998</v>
      </c>
      <c r="F42" s="2">
        <f>VLOOKUP(C42,'[1]World Population (2022) '!$B$2:$F$236,4,FALSE)</f>
        <v>32</v>
      </c>
      <c r="G42" s="4">
        <f>VLOOKUP(C42,'[1]World Population (2022) '!$B$2:$F$236,5,FALSE)</f>
        <v>0.84</v>
      </c>
      <c r="J42" s="8"/>
    </row>
    <row r="43" spans="1:10" x14ac:dyDescent="0.25">
      <c r="A43" s="2">
        <v>42</v>
      </c>
      <c r="B43" s="2" t="s">
        <v>101</v>
      </c>
      <c r="C43" s="2" t="s">
        <v>102</v>
      </c>
      <c r="D43" s="2">
        <f>VLOOKUP(C43,'[1]World Population (2022) '!$B$2:$C$236,2,FALSE)</f>
        <v>6413</v>
      </c>
      <c r="E43" s="2">
        <f>VLOOKUP(D43,'[1]World Population (2022) '!$C$2:$D$236,2,FALSE)</f>
        <v>5.6</v>
      </c>
      <c r="F43" s="2">
        <f>VLOOKUP(C43,'[1]World Population (2022) '!$B$2:$F$236,4,FALSE)</f>
        <v>17</v>
      </c>
      <c r="G43" s="4">
        <f>VLOOKUP(C43,'[1]World Population (2022) '!$B$2:$F$236,5,FALSE)</f>
        <v>0.67</v>
      </c>
      <c r="J43" s="8"/>
    </row>
    <row r="44" spans="1:10" x14ac:dyDescent="0.25">
      <c r="A44" s="2">
        <v>43</v>
      </c>
      <c r="B44" s="2" t="s">
        <v>103</v>
      </c>
      <c r="C44" s="2" t="s">
        <v>104</v>
      </c>
      <c r="D44" s="2">
        <f>VLOOKUP(C44,'[1]World Population (2022) '!$B$2:$C$236,2,FALSE)</f>
        <v>-8863</v>
      </c>
      <c r="E44" s="2">
        <f>VLOOKUP(D44,'[1]World Population (2022) '!$C$2:$D$236,2,FALSE)</f>
        <v>2.4</v>
      </c>
      <c r="F44" s="2">
        <f>VLOOKUP(C44,'[1]World Population (2022) '!$B$2:$F$236,4,FALSE)</f>
        <v>28</v>
      </c>
      <c r="G44" s="4">
        <f>VLOOKUP(C44,'[1]World Population (2022) '!$B$2:$F$236,5,FALSE)</f>
        <v>0.5</v>
      </c>
      <c r="J44" s="8"/>
    </row>
    <row r="45" spans="1:10" x14ac:dyDescent="0.25">
      <c r="A45" s="2">
        <v>44</v>
      </c>
      <c r="B45" s="2" t="s">
        <v>105</v>
      </c>
      <c r="C45" s="2" t="s">
        <v>106</v>
      </c>
      <c r="D45" s="2">
        <f>VLOOKUP(C45,'[1]World Population (2022) '!$B$2:$C$236,2,FALSE)</f>
        <v>99069</v>
      </c>
      <c r="E45" s="2">
        <f>VLOOKUP(D45,'[1]World Population (2022) '!$C$2:$D$236,2,FALSE)</f>
        <v>2.2999999999999998</v>
      </c>
      <c r="F45" s="2">
        <f>VLOOKUP(C45,'[1]World Population (2022) '!$B$2:$F$236,4,FALSE)</f>
        <v>31</v>
      </c>
      <c r="G45" s="4">
        <f>VLOOKUP(C45,'[1]World Population (2022) '!$B$2:$F$236,5,FALSE)</f>
        <v>0.79</v>
      </c>
      <c r="J45" s="8"/>
    </row>
    <row r="46" spans="1:10" x14ac:dyDescent="0.25">
      <c r="A46" s="2">
        <v>45</v>
      </c>
      <c r="B46" s="2" t="s">
        <v>107</v>
      </c>
      <c r="C46" s="2" t="s">
        <v>108</v>
      </c>
      <c r="D46" s="2">
        <f>VLOOKUP(C46,'[1]World Population (2022) '!$B$2:$C$236,2,FALSE)</f>
        <v>50000</v>
      </c>
      <c r="E46" s="2">
        <f>VLOOKUP(D46,'[1]World Population (2022) '!$C$2:$D$236,2,FALSE)</f>
        <v>2</v>
      </c>
      <c r="F46" s="2">
        <f>VLOOKUP(C46,'[1]World Population (2022) '!$B$2:$F$236,4,FALSE)</f>
        <v>30</v>
      </c>
      <c r="G46" s="4">
        <f>VLOOKUP(C46,'[1]World Population (2022) '!$B$2:$F$236,5,FALSE)</f>
        <v>0.78</v>
      </c>
      <c r="J46" s="8"/>
    </row>
    <row r="47" spans="1:10" x14ac:dyDescent="0.25">
      <c r="A47" s="2">
        <v>46</v>
      </c>
      <c r="B47" s="2" t="s">
        <v>109</v>
      </c>
      <c r="C47" s="2" t="s">
        <v>110</v>
      </c>
      <c r="D47" s="2">
        <f>VLOOKUP(C47,'[1]World Population (2022) '!$B$2:$C$236,2,FALSE)</f>
        <v>-30000</v>
      </c>
      <c r="E47" s="2">
        <f>VLOOKUP(D47,'[1]World Population (2022) '!$C$2:$D$236,2,FALSE)</f>
        <v>3.8</v>
      </c>
      <c r="F47" s="2">
        <f>VLOOKUP(C47,'[1]World Population (2022) '!$B$2:$F$236,4,FALSE)</f>
        <v>20</v>
      </c>
      <c r="G47" s="4">
        <f>VLOOKUP(C47,'[1]World Population (2022) '!$B$2:$F$236,5,FALSE)</f>
        <v>0.38</v>
      </c>
      <c r="J47" s="8"/>
    </row>
    <row r="48" spans="1:10" x14ac:dyDescent="0.25">
      <c r="A48" s="2">
        <v>47</v>
      </c>
      <c r="B48" s="2" t="s">
        <v>111</v>
      </c>
      <c r="C48" s="2" t="s">
        <v>112</v>
      </c>
      <c r="D48" s="2">
        <f>VLOOKUP(C48,'[1]World Population (2022) '!$B$2:$C$236,2,FALSE)</f>
        <v>-10000</v>
      </c>
      <c r="E48" s="2">
        <f>VLOOKUP(D48,'[1]World Population (2022) '!$C$2:$D$236,2,FALSE)</f>
        <v>3.5</v>
      </c>
      <c r="F48" s="2">
        <f>VLOOKUP(C48,'[1]World Population (2022) '!$B$2:$F$236,4,FALSE)</f>
        <v>22</v>
      </c>
      <c r="G48" s="4">
        <f>VLOOKUP(C48,'[1]World Population (2022) '!$B$2:$F$236,5,FALSE)</f>
        <v>0.56999999999999995</v>
      </c>
      <c r="J48" s="8"/>
    </row>
    <row r="49" spans="1:10" x14ac:dyDescent="0.25">
      <c r="A49" s="2">
        <v>48</v>
      </c>
      <c r="B49" s="2" t="s">
        <v>113</v>
      </c>
      <c r="C49" s="2" t="s">
        <v>114</v>
      </c>
      <c r="D49" s="2">
        <f>VLOOKUP(C49,'[1]World Population (2022) '!$B$2:$C$236,2,FALSE)</f>
        <v>-5000</v>
      </c>
      <c r="E49" s="2">
        <f>VLOOKUP(D49,'[1]World Population (2022) '!$C$2:$D$236,2,FALSE)</f>
        <v>4.9000000000000004</v>
      </c>
      <c r="F49" s="2">
        <f>VLOOKUP(C49,'[1]World Population (2022) '!$B$2:$F$236,4,FALSE)</f>
        <v>18</v>
      </c>
      <c r="G49" s="4">
        <f>VLOOKUP(C49,'[1]World Population (2022) '!$B$2:$F$236,5,FALSE)</f>
        <v>0.38</v>
      </c>
      <c r="J49" s="8"/>
    </row>
    <row r="50" spans="1:10" x14ac:dyDescent="0.25">
      <c r="A50" s="2">
        <v>49</v>
      </c>
      <c r="B50" s="2" t="s">
        <v>115</v>
      </c>
      <c r="C50" s="2" t="s">
        <v>116</v>
      </c>
      <c r="D50" s="2">
        <f>VLOOKUP(C50,'[1]World Population (2022) '!$B$2:$C$236,2,FALSE)</f>
        <v>41710</v>
      </c>
      <c r="E50" s="2">
        <f>VLOOKUP(D50,'[1]World Population (2022) '!$C$2:$D$236,2,FALSE)</f>
        <v>1.9</v>
      </c>
      <c r="F50" s="2">
        <f>VLOOKUP(C50,'[1]World Population (2022) '!$B$2:$F$236,4,FALSE)</f>
        <v>25</v>
      </c>
      <c r="G50" s="4">
        <f>VLOOKUP(C50,'[1]World Population (2022) '!$B$2:$F$236,5,FALSE)</f>
        <v>0.21</v>
      </c>
      <c r="J50" s="8"/>
    </row>
    <row r="51" spans="1:10" x14ac:dyDescent="0.25">
      <c r="A51" s="2">
        <v>50</v>
      </c>
      <c r="B51" s="2" t="s">
        <v>117</v>
      </c>
      <c r="C51" s="2" t="s">
        <v>118</v>
      </c>
      <c r="D51" s="2">
        <f>VLOOKUP(C51,'[1]World Population (2022) '!$B$2:$C$236,2,FALSE)</f>
        <v>-1500</v>
      </c>
      <c r="E51" s="2">
        <f>VLOOKUP(D51,'[1]World Population (2022) '!$C$2:$D$236,2,FALSE)</f>
        <v>4.0999999999999996</v>
      </c>
      <c r="F51" s="2">
        <f>VLOOKUP(C51,'[1]World Population (2022) '!$B$2:$F$236,4,FALSE)</f>
        <v>20</v>
      </c>
      <c r="G51" s="4">
        <f>VLOOKUP(C51,'[1]World Population (2022) '!$B$2:$F$236,5,FALSE)</f>
        <v>0.39</v>
      </c>
      <c r="J51" s="8"/>
    </row>
    <row r="52" spans="1:10" x14ac:dyDescent="0.25">
      <c r="A52" s="2">
        <v>51</v>
      </c>
      <c r="B52" s="2" t="s">
        <v>119</v>
      </c>
      <c r="C52" s="2" t="s">
        <v>120</v>
      </c>
      <c r="D52" s="2">
        <f>VLOOKUP(C52,'[1]World Population (2022) '!$B$2:$C$236,2,FALSE)</f>
        <v>-653249</v>
      </c>
      <c r="E52" s="2">
        <f>VLOOKUP(D52,'[1]World Population (2022) '!$C$2:$D$236,2,FALSE)</f>
        <v>2.2999999999999998</v>
      </c>
      <c r="F52" s="2">
        <f>VLOOKUP(C52,'[1]World Population (2022) '!$B$2:$F$236,4,FALSE)</f>
        <v>30</v>
      </c>
      <c r="G52" s="4" t="str">
        <f>VLOOKUP(C52,'[1]World Population (2022) '!$B$2:$F$236,5,FALSE)</f>
        <v>N.A.</v>
      </c>
      <c r="J52" s="8"/>
    </row>
    <row r="53" spans="1:10" x14ac:dyDescent="0.25">
      <c r="A53" s="2">
        <v>52</v>
      </c>
      <c r="B53" s="2" t="s">
        <v>121</v>
      </c>
      <c r="C53" s="2" t="s">
        <v>122</v>
      </c>
      <c r="D53" s="2" t="e">
        <f>VLOOKUP(C53,'[1]World Population (2022) '!$B$2:$C$236,2,FALSE)</f>
        <v>#N/A</v>
      </c>
      <c r="E53" s="2" t="e">
        <f>VLOOKUP(D53,'[1]World Population (2022) '!$C$2:$D$236,2,FALSE)</f>
        <v>#N/A</v>
      </c>
      <c r="F53" s="2" t="e">
        <f>VLOOKUP(C53,'[1]World Population (2022) '!$B$2:$F$236,4,FALSE)</f>
        <v>#N/A</v>
      </c>
      <c r="G53" s="4" t="e">
        <f>VLOOKUP(C53,'[1]World Population (2022) '!$B$2:$F$236,5,FALSE)</f>
        <v>#N/A</v>
      </c>
      <c r="J53" s="8"/>
    </row>
    <row r="54" spans="1:10" x14ac:dyDescent="0.25">
      <c r="A54" s="2">
        <v>53</v>
      </c>
      <c r="B54" s="2" t="s">
        <v>123</v>
      </c>
      <c r="C54" s="2" t="s">
        <v>124</v>
      </c>
      <c r="D54" s="2">
        <f>VLOOKUP(C54,'[1]World Population (2022) '!$B$2:$C$236,2,FALSE)</f>
        <v>-4800</v>
      </c>
      <c r="E54" s="2">
        <f>VLOOKUP(D54,'[1]World Population (2022) '!$C$2:$D$236,2,FALSE)</f>
        <v>4.5999999999999996</v>
      </c>
      <c r="F54" s="2">
        <f>VLOOKUP(C54,'[1]World Population (2022) '!$B$2:$F$236,4,FALSE)</f>
        <v>19</v>
      </c>
      <c r="G54" s="4">
        <f>VLOOKUP(C54,'[1]World Population (2022) '!$B$2:$F$236,5,FALSE)</f>
        <v>0.56000000000000005</v>
      </c>
      <c r="J54" s="8"/>
    </row>
    <row r="55" spans="1:10" x14ac:dyDescent="0.25">
      <c r="A55" s="2">
        <v>54</v>
      </c>
      <c r="B55" s="2" t="s">
        <v>125</v>
      </c>
      <c r="C55" s="2" t="s">
        <v>126</v>
      </c>
      <c r="D55" s="2">
        <f>VLOOKUP(C55,'[1]World Population (2022) '!$B$2:$C$236,2,FALSE)</f>
        <v>4000</v>
      </c>
      <c r="E55" s="2">
        <f>VLOOKUP(D55,'[1]World Population (2022) '!$C$2:$D$236,2,FALSE)</f>
        <v>7</v>
      </c>
      <c r="F55" s="2">
        <f>VLOOKUP(C55,'[1]World Population (2022) '!$B$2:$F$236,4,FALSE)</f>
        <v>15</v>
      </c>
      <c r="G55" s="4">
        <f>VLOOKUP(C55,'[1]World Population (2022) '!$B$2:$F$236,5,FALSE)</f>
        <v>0.17</v>
      </c>
      <c r="J55" s="8"/>
    </row>
    <row r="56" spans="1:10" x14ac:dyDescent="0.25">
      <c r="A56" s="2">
        <v>55</v>
      </c>
      <c r="B56" s="2" t="s">
        <v>127</v>
      </c>
      <c r="C56" s="2" t="s">
        <v>128</v>
      </c>
      <c r="D56" s="2">
        <f>VLOOKUP(C56,'[1]World Population (2022) '!$B$2:$C$236,2,FALSE)</f>
        <v>158246</v>
      </c>
      <c r="E56" s="2">
        <f>VLOOKUP(D56,'[1]World Population (2022) '!$C$2:$D$236,2,FALSE)</f>
        <v>1.8</v>
      </c>
      <c r="F56" s="2">
        <f>VLOOKUP(C56,'[1]World Population (2022) '!$B$2:$F$236,4,FALSE)</f>
        <v>38</v>
      </c>
      <c r="G56" s="4">
        <f>VLOOKUP(C56,'[1]World Population (2022) '!$B$2:$F$236,5,FALSE)</f>
        <v>0.86</v>
      </c>
      <c r="J56" s="8"/>
    </row>
    <row r="57" spans="1:10" x14ac:dyDescent="0.25">
      <c r="A57" s="2">
        <v>56</v>
      </c>
      <c r="B57" s="2" t="s">
        <v>129</v>
      </c>
      <c r="C57" s="2" t="s">
        <v>130</v>
      </c>
      <c r="D57" s="2">
        <f>VLOOKUP(C57,'[1]World Population (2022) '!$B$2:$C$236,2,FALSE)</f>
        <v>-5403</v>
      </c>
      <c r="E57" s="2">
        <f>VLOOKUP(D57,'[1]World Population (2022) '!$C$2:$D$236,2,FALSE)</f>
        <v>1.9</v>
      </c>
      <c r="F57" s="2">
        <f>VLOOKUP(C57,'[1]World Population (2022) '!$B$2:$F$236,4,FALSE)</f>
        <v>35</v>
      </c>
      <c r="G57" s="4">
        <f>VLOOKUP(C57,'[1]World Population (2022) '!$B$2:$F$236,5,FALSE)</f>
        <v>0.63</v>
      </c>
      <c r="J57" s="8"/>
    </row>
    <row r="58" spans="1:10" x14ac:dyDescent="0.25">
      <c r="A58" s="2">
        <v>57</v>
      </c>
      <c r="B58" s="2" t="s">
        <v>131</v>
      </c>
      <c r="C58" s="2" t="s">
        <v>132</v>
      </c>
      <c r="D58" s="2">
        <f>VLOOKUP(C58,'[1]World Population (2022) '!$B$2:$C$236,2,FALSE)</f>
        <v>30001</v>
      </c>
      <c r="E58" s="2">
        <f>VLOOKUP(D58,'[1]World Population (2022) '!$C$2:$D$236,2,FALSE)</f>
        <v>1.2</v>
      </c>
      <c r="F58" s="2">
        <f>VLOOKUP(C58,'[1]World Population (2022) '!$B$2:$F$236,4,FALSE)</f>
        <v>42</v>
      </c>
      <c r="G58" s="4">
        <f>VLOOKUP(C58,'[1]World Population (2022) '!$B$2:$F$236,5,FALSE)</f>
        <v>0.79</v>
      </c>
      <c r="J58" s="8"/>
    </row>
    <row r="59" spans="1:10" x14ac:dyDescent="0.25">
      <c r="A59" s="2">
        <v>58</v>
      </c>
      <c r="B59" s="2" t="s">
        <v>133</v>
      </c>
      <c r="C59" s="2" t="s">
        <v>134</v>
      </c>
      <c r="D59" s="2">
        <f>VLOOKUP(C59,'[1]World Population (2022) '!$B$2:$C$236,2,FALSE)</f>
        <v>-25000</v>
      </c>
      <c r="E59" s="2">
        <f>VLOOKUP(D59,'[1]World Population (2022) '!$C$2:$D$236,2,FALSE)</f>
        <v>5.2</v>
      </c>
      <c r="F59" s="2">
        <f>VLOOKUP(C59,'[1]World Population (2022) '!$B$2:$F$236,4,FALSE)</f>
        <v>18</v>
      </c>
      <c r="G59" s="4">
        <f>VLOOKUP(C59,'[1]World Population (2022) '!$B$2:$F$236,5,FALSE)</f>
        <v>0.31</v>
      </c>
      <c r="J59" s="8"/>
    </row>
    <row r="60" spans="1:10" x14ac:dyDescent="0.25">
      <c r="A60" s="2">
        <v>59</v>
      </c>
      <c r="B60" s="2" t="s">
        <v>135</v>
      </c>
      <c r="C60" s="2" t="s">
        <v>136</v>
      </c>
      <c r="D60" s="2">
        <f>VLOOKUP(C60,'[1]World Population (2022) '!$B$2:$C$236,2,FALSE)</f>
        <v>-40000</v>
      </c>
      <c r="E60" s="2">
        <f>VLOOKUP(D60,'[1]World Population (2022) '!$C$2:$D$236,2,FALSE)</f>
        <v>5.9</v>
      </c>
      <c r="F60" s="2">
        <f>VLOOKUP(C60,'[1]World Population (2022) '!$B$2:$F$236,4,FALSE)</f>
        <v>16</v>
      </c>
      <c r="G60" s="4">
        <f>VLOOKUP(C60,'[1]World Population (2022) '!$B$2:$F$236,5,FALSE)</f>
        <v>0.44</v>
      </c>
      <c r="J60" s="8"/>
    </row>
    <row r="61" spans="1:10" x14ac:dyDescent="0.25">
      <c r="A61" s="2">
        <v>60</v>
      </c>
      <c r="B61" s="2" t="s">
        <v>137</v>
      </c>
      <c r="C61" s="2" t="s">
        <v>138</v>
      </c>
      <c r="D61" s="2">
        <f>VLOOKUP(C61,'[1]World Population (2022) '!$B$2:$C$236,2,FALSE)</f>
        <v>-427391</v>
      </c>
      <c r="E61" s="2">
        <f>VLOOKUP(D61,'[1]World Population (2022) '!$C$2:$D$236,2,FALSE)</f>
        <v>2.8</v>
      </c>
      <c r="F61" s="2">
        <f>VLOOKUP(C61,'[1]World Population (2022) '!$B$2:$F$236,4,FALSE)</f>
        <v>26</v>
      </c>
      <c r="G61" s="4">
        <f>VLOOKUP(C61,'[1]World Population (2022) '!$B$2:$F$236,5,FALSE)</f>
        <v>0.6</v>
      </c>
      <c r="J61" s="8"/>
    </row>
    <row r="62" spans="1:10" x14ac:dyDescent="0.25">
      <c r="A62" s="2">
        <v>61</v>
      </c>
      <c r="B62" s="2" t="s">
        <v>139</v>
      </c>
      <c r="C62" s="2" t="s">
        <v>140</v>
      </c>
      <c r="D62" s="2">
        <f>VLOOKUP(C62,'[1]World Population (2022) '!$B$2:$C$236,2,FALSE)</f>
        <v>-97986</v>
      </c>
      <c r="E62" s="2">
        <f>VLOOKUP(D62,'[1]World Population (2022) '!$C$2:$D$236,2,FALSE)</f>
        <v>2.2000000000000002</v>
      </c>
      <c r="F62" s="2">
        <f>VLOOKUP(C62,'[1]World Population (2022) '!$B$2:$F$236,4,FALSE)</f>
        <v>34</v>
      </c>
      <c r="G62" s="4">
        <f>VLOOKUP(C62,'[1]World Population (2022) '!$B$2:$F$236,5,FALSE)</f>
        <v>0.18</v>
      </c>
      <c r="J62" s="8"/>
    </row>
    <row r="63" spans="1:10" x14ac:dyDescent="0.25">
      <c r="A63" s="2">
        <v>62</v>
      </c>
      <c r="B63" s="2" t="s">
        <v>141</v>
      </c>
      <c r="C63" s="2" t="s">
        <v>142</v>
      </c>
      <c r="D63" s="2">
        <f>VLOOKUP(C63,'[1]World Population (2022) '!$B$2:$C$236,2,FALSE)</f>
        <v>-16053</v>
      </c>
      <c r="E63" s="2">
        <f>VLOOKUP(D63,'[1]World Population (2022) '!$C$2:$D$236,2,FALSE)</f>
        <v>4.3</v>
      </c>
      <c r="F63" s="2">
        <f>VLOOKUP(C63,'[1]World Population (2022) '!$B$2:$F$236,4,FALSE)</f>
        <v>18</v>
      </c>
      <c r="G63" s="4">
        <f>VLOOKUP(C63,'[1]World Population (2022) '!$B$2:$F$236,5,FALSE)</f>
        <v>0.18</v>
      </c>
      <c r="J63" s="8"/>
    </row>
    <row r="64" spans="1:10" x14ac:dyDescent="0.25">
      <c r="A64" s="2">
        <v>63</v>
      </c>
      <c r="B64" s="2" t="s">
        <v>143</v>
      </c>
      <c r="C64" s="2" t="s">
        <v>144</v>
      </c>
      <c r="D64" s="2">
        <f>VLOOKUP(C64,'[1]World Population (2022) '!$B$2:$C$236,2,FALSE)</f>
        <v>-8000</v>
      </c>
      <c r="E64" s="2">
        <f>VLOOKUP(D64,'[1]World Population (2022) '!$C$2:$D$236,2,FALSE)</f>
        <v>4.7</v>
      </c>
      <c r="F64" s="2">
        <f>VLOOKUP(C64,'[1]World Population (2022) '!$B$2:$F$236,4,FALSE)</f>
        <v>18</v>
      </c>
      <c r="G64" s="4">
        <f>VLOOKUP(C64,'[1]World Population (2022) '!$B$2:$F$236,5,FALSE)</f>
        <v>0.45</v>
      </c>
      <c r="J64" s="8"/>
    </row>
    <row r="65" spans="1:10" x14ac:dyDescent="0.25">
      <c r="A65" s="2">
        <v>64</v>
      </c>
      <c r="B65" s="2" t="s">
        <v>145</v>
      </c>
      <c r="C65" s="2" t="s">
        <v>146</v>
      </c>
      <c r="D65" s="2">
        <f>VLOOKUP(C65,'[1]World Population (2022) '!$B$2:$C$236,2,FALSE)</f>
        <v>-73999</v>
      </c>
      <c r="E65" s="2">
        <f>VLOOKUP(D65,'[1]World Population (2022) '!$C$2:$D$236,2,FALSE)</f>
        <v>1.6</v>
      </c>
      <c r="F65" s="2">
        <f>VLOOKUP(C65,'[1]World Population (2022) '!$B$2:$F$236,4,FALSE)</f>
        <v>43</v>
      </c>
      <c r="G65" s="4">
        <f>VLOOKUP(C65,'[1]World Population (2022) '!$B$2:$F$236,5,FALSE)</f>
        <v>0.55000000000000004</v>
      </c>
      <c r="J65" s="8"/>
    </row>
    <row r="66" spans="1:10" x14ac:dyDescent="0.25">
      <c r="A66" s="2">
        <v>65</v>
      </c>
      <c r="B66" s="2" t="s">
        <v>147</v>
      </c>
      <c r="C66" s="2" t="s">
        <v>148</v>
      </c>
      <c r="D66" s="2">
        <f>VLOOKUP(C66,'[1]World Population (2022) '!$B$2:$C$236,2,FALSE)</f>
        <v>111708</v>
      </c>
      <c r="E66" s="2">
        <f>VLOOKUP(D66,'[1]World Population (2022) '!$C$2:$D$236,2,FALSE)</f>
        <v>1.7</v>
      </c>
      <c r="F66" s="2">
        <f>VLOOKUP(C66,'[1]World Population (2022) '!$B$2:$F$236,4,FALSE)</f>
        <v>35</v>
      </c>
      <c r="G66" s="4">
        <f>VLOOKUP(C66,'[1]World Population (2022) '!$B$2:$F$236,5,FALSE)</f>
        <v>0.85</v>
      </c>
      <c r="J66" s="8"/>
    </row>
    <row r="67" spans="1:10" x14ac:dyDescent="0.25">
      <c r="A67" s="2">
        <v>66</v>
      </c>
      <c r="B67" s="2" t="s">
        <v>149</v>
      </c>
      <c r="C67" s="2" t="s">
        <v>150</v>
      </c>
      <c r="D67" s="2">
        <f>VLOOKUP(C67,'[1]World Population (2022) '!$B$2:$C$236,2,FALSE)</f>
        <v>-18000</v>
      </c>
      <c r="E67" s="2">
        <f>VLOOKUP(D67,'[1]World Population (2022) '!$C$2:$D$236,2,FALSE)</f>
        <v>2.8</v>
      </c>
      <c r="F67" s="2">
        <f>VLOOKUP(C67,'[1]World Population (2022) '!$B$2:$F$236,4,FALSE)</f>
        <v>31</v>
      </c>
      <c r="G67" s="4">
        <f>VLOOKUP(C67,'[1]World Population (2022) '!$B$2:$F$236,5,FALSE)</f>
        <v>0.57999999999999996</v>
      </c>
      <c r="J67" s="8"/>
    </row>
    <row r="68" spans="1:10" x14ac:dyDescent="0.25">
      <c r="A68" s="2">
        <v>67</v>
      </c>
      <c r="B68" s="2" t="s">
        <v>151</v>
      </c>
      <c r="C68" s="2" t="s">
        <v>152</v>
      </c>
      <c r="D68" s="2">
        <f>VLOOKUP(C68,'[1]World Population (2022) '!$B$2:$C$236,2,FALSE)</f>
        <v>36400</v>
      </c>
      <c r="E68" s="2">
        <f>VLOOKUP(D68,'[1]World Population (2022) '!$C$2:$D$236,2,FALSE)</f>
        <v>2.4</v>
      </c>
      <c r="F68" s="2">
        <f>VLOOKUP(C68,'[1]World Population (2022) '!$B$2:$F$236,4,FALSE)</f>
        <v>28</v>
      </c>
      <c r="G68" s="4">
        <f>VLOOKUP(C68,'[1]World Population (2022) '!$B$2:$F$236,5,FALSE)</f>
        <v>0.63</v>
      </c>
      <c r="J68" s="8"/>
    </row>
    <row r="69" spans="1:10" x14ac:dyDescent="0.25">
      <c r="A69" s="2">
        <v>68</v>
      </c>
      <c r="B69" s="2" t="s">
        <v>153</v>
      </c>
      <c r="C69" s="2" t="s">
        <v>154</v>
      </c>
      <c r="D69" s="2">
        <f>VLOOKUP(C69,'[1]World Population (2022) '!$B$2:$C$236,2,FALSE)</f>
        <v>-9215</v>
      </c>
      <c r="E69" s="2">
        <f>VLOOKUP(D69,'[1]World Population (2022) '!$C$2:$D$236,2,FALSE)</f>
        <v>2.9</v>
      </c>
      <c r="F69" s="2">
        <f>VLOOKUP(C69,'[1]World Population (2022) '!$B$2:$F$236,4,FALSE)</f>
        <v>23</v>
      </c>
      <c r="G69" s="4">
        <f>VLOOKUP(C69,'[1]World Population (2022) '!$B$2:$F$236,5,FALSE)</f>
        <v>0.52</v>
      </c>
      <c r="J69" s="8"/>
    </row>
    <row r="70" spans="1:10" x14ac:dyDescent="0.25">
      <c r="A70" s="2">
        <v>69</v>
      </c>
      <c r="B70" s="2" t="s">
        <v>155</v>
      </c>
      <c r="C70" s="2" t="s">
        <v>156</v>
      </c>
      <c r="D70" s="2">
        <f>VLOOKUP(C70,'[1]World Population (2022) '!$B$2:$C$236,2,FALSE)</f>
        <v>2000</v>
      </c>
      <c r="E70" s="2">
        <f>VLOOKUP(D70,'[1]World Population (2022) '!$C$2:$D$236,2,FALSE)</f>
        <v>5.8</v>
      </c>
      <c r="F70" s="2">
        <f>VLOOKUP(C70,'[1]World Population (2022) '!$B$2:$F$236,4,FALSE)</f>
        <v>17</v>
      </c>
      <c r="G70" s="4">
        <f>VLOOKUP(C70,'[1]World Population (2022) '!$B$2:$F$236,5,FALSE)</f>
        <v>0.23</v>
      </c>
      <c r="J70" s="8"/>
    </row>
    <row r="71" spans="1:10" x14ac:dyDescent="0.25">
      <c r="A71" s="2">
        <v>70</v>
      </c>
      <c r="B71" s="2" t="s">
        <v>157</v>
      </c>
      <c r="C71" s="2" t="s">
        <v>158</v>
      </c>
      <c r="D71" s="2">
        <f>VLOOKUP(C71,'[1]World Population (2022) '!$B$2:$C$236,2,FALSE)</f>
        <v>-40000</v>
      </c>
      <c r="E71" s="2">
        <f>VLOOKUP(D71,'[1]World Population (2022) '!$C$2:$D$236,2,FALSE)</f>
        <v>5.9</v>
      </c>
      <c r="F71" s="2">
        <f>VLOOKUP(C71,'[1]World Population (2022) '!$B$2:$F$236,4,FALSE)</f>
        <v>17</v>
      </c>
      <c r="G71" s="4">
        <f>VLOOKUP(C71,'[1]World Population (2022) '!$B$2:$F$236,5,FALSE)</f>
        <v>0.47</v>
      </c>
      <c r="J71" s="8"/>
    </row>
    <row r="72" spans="1:10" x14ac:dyDescent="0.25">
      <c r="A72" s="2">
        <v>71</v>
      </c>
      <c r="B72" s="2" t="s">
        <v>159</v>
      </c>
      <c r="C72" s="2" t="s">
        <v>160</v>
      </c>
      <c r="D72" s="2">
        <f>VLOOKUP(C72,'[1]World Population (2022) '!$B$2:$C$236,2,FALSE)</f>
        <v>16000</v>
      </c>
      <c r="E72" s="2">
        <f>VLOOKUP(D72,'[1]World Population (2022) '!$C$2:$D$236,2,FALSE)</f>
        <v>1.7</v>
      </c>
      <c r="F72" s="2">
        <f>VLOOKUP(C72,'[1]World Population (2022) '!$B$2:$F$236,4,FALSE)</f>
        <v>43</v>
      </c>
      <c r="G72" s="4">
        <f>VLOOKUP(C72,'[1]World Population (2022) '!$B$2:$F$236,5,FALSE)</f>
        <v>0.92</v>
      </c>
      <c r="J72" s="8"/>
    </row>
    <row r="73" spans="1:10" x14ac:dyDescent="0.25">
      <c r="A73" s="2">
        <v>72</v>
      </c>
      <c r="B73" s="2" t="s">
        <v>161</v>
      </c>
      <c r="C73" s="2" t="s">
        <v>162</v>
      </c>
      <c r="D73" s="2">
        <f>VLOOKUP(C73,'[1]World Population (2022) '!$B$2:$C$236,2,FALSE)</f>
        <v>-20000</v>
      </c>
      <c r="E73" s="2">
        <f>VLOOKUP(D73,'[1]World Population (2022) '!$C$2:$D$236,2,FALSE)</f>
        <v>4.7</v>
      </c>
      <c r="F73" s="2">
        <f>VLOOKUP(C73,'[1]World Population (2022) '!$B$2:$F$236,4,FALSE)</f>
        <v>19</v>
      </c>
      <c r="G73" s="4">
        <f>VLOOKUP(C73,'[1]World Population (2022) '!$B$2:$F$236,5,FALSE)</f>
        <v>0.49</v>
      </c>
      <c r="J73" s="8"/>
    </row>
    <row r="74" spans="1:10" x14ac:dyDescent="0.25">
      <c r="A74" s="2">
        <v>73</v>
      </c>
      <c r="B74" s="2" t="s">
        <v>163</v>
      </c>
      <c r="C74" s="2" t="s">
        <v>164</v>
      </c>
      <c r="D74" s="2">
        <f>VLOOKUP(C74,'[1]World Population (2022) '!$B$2:$C$236,2,FALSE)</f>
        <v>-30000</v>
      </c>
      <c r="E74" s="2">
        <f>VLOOKUP(D74,'[1]World Population (2022) '!$C$2:$D$236,2,FALSE)</f>
        <v>3.8</v>
      </c>
      <c r="F74" s="2">
        <f>VLOOKUP(C74,'[1]World Population (2022) '!$B$2:$F$236,4,FALSE)</f>
        <v>26</v>
      </c>
      <c r="G74" s="4">
        <f>VLOOKUP(C74,'[1]World Population (2022) '!$B$2:$F$236,5,FALSE)</f>
        <v>0.24</v>
      </c>
      <c r="J74" s="8"/>
    </row>
    <row r="75" spans="1:10" x14ac:dyDescent="0.25">
      <c r="A75" s="2">
        <v>74</v>
      </c>
      <c r="B75" s="2" t="s">
        <v>165</v>
      </c>
      <c r="C75" s="2" t="s">
        <v>166</v>
      </c>
      <c r="D75" s="2">
        <f>VLOOKUP(C75,'[1]World Population (2022) '!$B$2:$C$236,2,FALSE)</f>
        <v>-116858</v>
      </c>
      <c r="E75" s="2">
        <f>VLOOKUP(D75,'[1]World Population (2022) '!$C$2:$D$236,2,FALSE)</f>
        <v>3.6</v>
      </c>
      <c r="F75" s="2">
        <f>VLOOKUP(C75,'[1]World Population (2022) '!$B$2:$F$236,4,FALSE)</f>
        <v>19</v>
      </c>
      <c r="G75" s="4">
        <f>VLOOKUP(C75,'[1]World Population (2022) '!$B$2:$F$236,5,FALSE)</f>
        <v>0.38</v>
      </c>
      <c r="J75" s="8"/>
    </row>
    <row r="76" spans="1:10" x14ac:dyDescent="0.25">
      <c r="A76" s="2">
        <v>75</v>
      </c>
      <c r="B76" s="2" t="s">
        <v>167</v>
      </c>
      <c r="C76" s="2" t="s">
        <v>168</v>
      </c>
      <c r="D76" s="2">
        <f>VLOOKUP(C76,'[1]World Population (2022) '!$B$2:$C$236,2,FALSE)</f>
        <v>-4000</v>
      </c>
      <c r="E76" s="2">
        <f>VLOOKUP(D76,'[1]World Population (2022) '!$C$2:$D$236,2,FALSE)</f>
        <v>4.7</v>
      </c>
      <c r="F76" s="2">
        <f>VLOOKUP(C76,'[1]World Population (2022) '!$B$2:$F$236,4,FALSE)</f>
        <v>18</v>
      </c>
      <c r="G76" s="4">
        <f>VLOOKUP(C76,'[1]World Population (2022) '!$B$2:$F$236,5,FALSE)</f>
        <v>0.39</v>
      </c>
      <c r="J76" s="8"/>
    </row>
    <row r="77" spans="1:10" x14ac:dyDescent="0.25">
      <c r="A77" s="2">
        <v>76</v>
      </c>
      <c r="B77" s="2" t="s">
        <v>169</v>
      </c>
      <c r="C77" s="2" t="s">
        <v>170</v>
      </c>
      <c r="D77" s="2">
        <f>VLOOKUP(C77,'[1]World Population (2022) '!$B$2:$C$236,2,FALSE)</f>
        <v>-9000</v>
      </c>
      <c r="E77" s="2">
        <f>VLOOKUP(D77,'[1]World Population (2022) '!$C$2:$D$236,2,FALSE)</f>
        <v>4.0999999999999996</v>
      </c>
      <c r="F77" s="2">
        <f>VLOOKUP(C77,'[1]World Population (2022) '!$B$2:$F$236,4,FALSE)</f>
        <v>20</v>
      </c>
      <c r="G77" s="4">
        <f>VLOOKUP(C77,'[1]World Population (2022) '!$B$2:$F$236,5,FALSE)</f>
        <v>0.18</v>
      </c>
      <c r="J77" s="8"/>
    </row>
    <row r="78" spans="1:10" x14ac:dyDescent="0.25">
      <c r="A78" s="2">
        <v>77</v>
      </c>
      <c r="B78" s="2" t="s">
        <v>171</v>
      </c>
      <c r="C78" s="2" t="s">
        <v>172</v>
      </c>
      <c r="D78" s="2">
        <f>VLOOKUP(C78,'[1]World Population (2022) '!$B$2:$C$236,2,FALSE)</f>
        <v>-2000</v>
      </c>
      <c r="E78" s="2">
        <f>VLOOKUP(D78,'[1]World Population (2022) '!$C$2:$D$236,2,FALSE)</f>
        <v>4.9000000000000004</v>
      </c>
      <c r="F78" s="2">
        <f>VLOOKUP(C78,'[1]World Population (2022) '!$B$2:$F$236,4,FALSE)</f>
        <v>19</v>
      </c>
      <c r="G78" s="4">
        <f>VLOOKUP(C78,'[1]World Population (2022) '!$B$2:$F$236,5,FALSE)</f>
        <v>0.48</v>
      </c>
      <c r="J78" s="8"/>
    </row>
    <row r="79" spans="1:10" x14ac:dyDescent="0.25">
      <c r="A79" s="2">
        <v>78</v>
      </c>
      <c r="B79" s="2" t="s">
        <v>173</v>
      </c>
      <c r="C79" s="2" t="s">
        <v>174</v>
      </c>
      <c r="D79" s="2">
        <f>VLOOKUP(C79,'[1]World Population (2022) '!$B$2:$C$236,2,FALSE)</f>
        <v>2001</v>
      </c>
      <c r="E79" s="2">
        <f>VLOOKUP(D79,'[1]World Population (2022) '!$C$2:$D$236,2,FALSE)</f>
        <v>5.5</v>
      </c>
      <c r="F79" s="2">
        <f>VLOOKUP(C79,'[1]World Population (2022) '!$B$2:$F$236,4,FALSE)</f>
        <v>17</v>
      </c>
      <c r="G79" s="4">
        <f>VLOOKUP(C79,'[1]World Population (2022) '!$B$2:$F$236,5,FALSE)</f>
        <v>0.14000000000000001</v>
      </c>
      <c r="J79" s="8"/>
    </row>
    <row r="80" spans="1:10" x14ac:dyDescent="0.25">
      <c r="A80" s="2">
        <v>79</v>
      </c>
      <c r="B80" s="2" t="s">
        <v>175</v>
      </c>
      <c r="C80" s="2" t="s">
        <v>176</v>
      </c>
      <c r="D80" s="2">
        <f>VLOOKUP(C80,'[1]World Population (2022) '!$B$2:$C$236,2,FALSE)</f>
        <v>-4000</v>
      </c>
      <c r="E80" s="2">
        <f>VLOOKUP(D80,'[1]World Population (2022) '!$C$2:$D$236,2,FALSE)</f>
        <v>4.7</v>
      </c>
      <c r="F80" s="2">
        <f>VLOOKUP(C80,'[1]World Population (2022) '!$B$2:$F$236,4,FALSE)</f>
        <v>33</v>
      </c>
      <c r="G80" s="4">
        <f>VLOOKUP(C80,'[1]World Population (2022) '!$B$2:$F$236,5,FALSE)</f>
        <v>0.7</v>
      </c>
      <c r="J80" s="8"/>
    </row>
    <row r="81" spans="1:10" x14ac:dyDescent="0.25">
      <c r="A81" s="2">
        <v>80</v>
      </c>
      <c r="B81" s="2" t="s">
        <v>177</v>
      </c>
      <c r="C81" s="2" t="s">
        <v>178</v>
      </c>
      <c r="D81" s="2">
        <f>VLOOKUP(C81,'[1]World Population (2022) '!$B$2:$C$236,2,FALSE)</f>
        <v>-9504</v>
      </c>
      <c r="E81" s="2">
        <f>VLOOKUP(D81,'[1]World Population (2022) '!$C$2:$D$236,2,FALSE)</f>
        <v>2.8</v>
      </c>
      <c r="F81" s="2">
        <f>VLOOKUP(C81,'[1]World Population (2022) '!$B$2:$F$236,4,FALSE)</f>
        <v>26</v>
      </c>
      <c r="G81" s="4">
        <f>VLOOKUP(C81,'[1]World Population (2022) '!$B$2:$F$236,5,FALSE)</f>
        <v>0.69</v>
      </c>
      <c r="J81" s="8"/>
    </row>
    <row r="82" spans="1:10" x14ac:dyDescent="0.25">
      <c r="A82" s="2">
        <v>81</v>
      </c>
      <c r="B82" s="2" t="s">
        <v>179</v>
      </c>
      <c r="C82" s="2" t="s">
        <v>180</v>
      </c>
      <c r="D82" s="2">
        <f>VLOOKUP(C82,'[1]World Population (2022) '!$B$2:$C$236,2,FALSE)</f>
        <v>48000</v>
      </c>
      <c r="E82" s="2">
        <f>VLOOKUP(D82,'[1]World Population (2022) '!$C$2:$D$236,2,FALSE)</f>
        <v>1.7</v>
      </c>
      <c r="F82" s="2">
        <f>VLOOKUP(C82,'[1]World Population (2022) '!$B$2:$F$236,4,FALSE)</f>
        <v>42</v>
      </c>
      <c r="G82" s="4">
        <f>VLOOKUP(C82,'[1]World Population (2022) '!$B$2:$F$236,5,FALSE)</f>
        <v>0.98</v>
      </c>
      <c r="J82" s="8"/>
    </row>
    <row r="83" spans="1:10" x14ac:dyDescent="0.25">
      <c r="A83" s="2">
        <v>82</v>
      </c>
      <c r="B83" s="2" t="s">
        <v>181</v>
      </c>
      <c r="C83" s="2" t="s">
        <v>182</v>
      </c>
      <c r="D83" s="2">
        <f>VLOOKUP(C83,'[1]World Population (2022) '!$B$2:$C$236,2,FALSE)</f>
        <v>-35000</v>
      </c>
      <c r="E83" s="2">
        <f>VLOOKUP(D83,'[1]World Population (2022) '!$C$2:$D$236,2,FALSE)</f>
        <v>3</v>
      </c>
      <c r="F83" s="2">
        <f>VLOOKUP(C83,'[1]World Population (2022) '!$B$2:$F$236,4,FALSE)</f>
        <v>24</v>
      </c>
      <c r="G83" s="4">
        <f>VLOOKUP(C83,'[1]World Population (2022) '!$B$2:$F$236,5,FALSE)</f>
        <v>0.56999999999999995</v>
      </c>
      <c r="J83" s="8"/>
    </row>
    <row r="84" spans="1:10" x14ac:dyDescent="0.25">
      <c r="A84" s="2">
        <v>83</v>
      </c>
      <c r="B84" s="2" t="s">
        <v>183</v>
      </c>
      <c r="C84" s="2" t="s">
        <v>184</v>
      </c>
      <c r="D84" s="2">
        <f>VLOOKUP(C84,'[1]World Population (2022) '!$B$2:$C$236,2,FALSE)</f>
        <v>10220</v>
      </c>
      <c r="E84" s="2">
        <f>VLOOKUP(D84,'[1]World Population (2022) '!$C$2:$D$236,2,FALSE)</f>
        <v>2.8</v>
      </c>
      <c r="F84" s="2">
        <f>VLOOKUP(C84,'[1]World Population (2022) '!$B$2:$F$236,4,FALSE)</f>
        <v>24</v>
      </c>
      <c r="G84" s="4">
        <f>VLOOKUP(C84,'[1]World Population (2022) '!$B$2:$F$236,5,FALSE)</f>
        <v>0.91</v>
      </c>
      <c r="J84" s="8"/>
    </row>
    <row r="85" spans="1:10" x14ac:dyDescent="0.25">
      <c r="A85" s="2">
        <v>84</v>
      </c>
      <c r="B85" s="2" t="s">
        <v>185</v>
      </c>
      <c r="C85" s="2" t="s">
        <v>186</v>
      </c>
      <c r="D85" s="2">
        <f>VLOOKUP(C85,'[1]World Population (2022) '!$B$2:$C$236,2,FALSE)</f>
        <v>-30000</v>
      </c>
      <c r="E85" s="2">
        <f>VLOOKUP(D85,'[1]World Population (2022) '!$C$2:$D$236,2,FALSE)</f>
        <v>3.8</v>
      </c>
      <c r="F85" s="2">
        <f>VLOOKUP(C85,'[1]World Population (2022) '!$B$2:$F$236,4,FALSE)</f>
        <v>28</v>
      </c>
      <c r="G85" s="4">
        <f>VLOOKUP(C85,'[1]World Population (2022) '!$B$2:$F$236,5,FALSE)</f>
        <v>0.85</v>
      </c>
      <c r="J85" s="8"/>
    </row>
    <row r="86" spans="1:10" x14ac:dyDescent="0.25">
      <c r="A86" s="2">
        <v>85</v>
      </c>
      <c r="B86" s="2" t="s">
        <v>187</v>
      </c>
      <c r="C86" s="2" t="s">
        <v>188</v>
      </c>
      <c r="D86" s="2">
        <f>VLOOKUP(C86,'[1]World Population (2022) '!$B$2:$C$236,2,FALSE)</f>
        <v>-14400</v>
      </c>
      <c r="E86" s="2">
        <f>VLOOKUP(D86,'[1]World Population (2022) '!$C$2:$D$236,2,FALSE)</f>
        <v>1.6</v>
      </c>
      <c r="F86" s="2">
        <f>VLOOKUP(C86,'[1]World Population (2022) '!$B$2:$F$236,4,FALSE)</f>
        <v>42</v>
      </c>
      <c r="G86" s="4">
        <f>VLOOKUP(C86,'[1]World Population (2022) '!$B$2:$F$236,5,FALSE)</f>
        <v>0.78</v>
      </c>
      <c r="J86" s="8"/>
    </row>
    <row r="87" spans="1:10" x14ac:dyDescent="0.25">
      <c r="A87" s="2">
        <v>86</v>
      </c>
      <c r="B87" s="2" t="s">
        <v>189</v>
      </c>
      <c r="C87" s="2" t="s">
        <v>190</v>
      </c>
      <c r="D87" s="2">
        <f>VLOOKUP(C87,'[1]World Population (2022) '!$B$2:$C$236,2,FALSE)</f>
        <v>-174200</v>
      </c>
      <c r="E87" s="2">
        <f>VLOOKUP(D87,'[1]World Population (2022) '!$C$2:$D$236,2,FALSE)</f>
        <v>4.7</v>
      </c>
      <c r="F87" s="2">
        <f>VLOOKUP(C87,'[1]World Population (2022) '!$B$2:$F$236,4,FALSE)</f>
        <v>19</v>
      </c>
      <c r="G87" s="4">
        <f>VLOOKUP(C87,'[1]World Population (2022) '!$B$2:$F$236,5,FALSE)</f>
        <v>0.25</v>
      </c>
      <c r="J87" s="8"/>
    </row>
    <row r="88" spans="1:10" x14ac:dyDescent="0.25">
      <c r="A88" s="2">
        <v>87</v>
      </c>
      <c r="B88" s="2" t="s">
        <v>191</v>
      </c>
      <c r="C88" s="2" t="s">
        <v>192</v>
      </c>
      <c r="D88" s="2">
        <f>VLOOKUP(C88,'[1]World Population (2022) '!$B$2:$C$236,2,FALSE)</f>
        <v>40000</v>
      </c>
      <c r="E88" s="2">
        <f>VLOOKUP(D88,'[1]World Population (2022) '!$C$2:$D$236,2,FALSE)</f>
        <v>1.3</v>
      </c>
      <c r="F88" s="2">
        <f>VLOOKUP(C88,'[1]World Population (2022) '!$B$2:$F$236,4,FALSE)</f>
        <v>41</v>
      </c>
      <c r="G88" s="4">
        <f>VLOOKUP(C88,'[1]World Population (2022) '!$B$2:$F$236,5,FALSE)</f>
        <v>0.88</v>
      </c>
      <c r="J88" s="8"/>
    </row>
    <row r="89" spans="1:10" x14ac:dyDescent="0.25">
      <c r="A89" s="2">
        <v>88</v>
      </c>
      <c r="B89" s="2" t="s">
        <v>193</v>
      </c>
      <c r="C89" s="2" t="s">
        <v>194</v>
      </c>
      <c r="D89" s="2" t="e">
        <f>VLOOKUP(C89,'[1]World Population (2022) '!$B$2:$C$236,2,FALSE)</f>
        <v>#N/A</v>
      </c>
      <c r="E89" s="2" t="e">
        <f>VLOOKUP(D89,'[1]World Population (2022) '!$C$2:$D$236,2,FALSE)</f>
        <v>#N/A</v>
      </c>
      <c r="F89" s="2" t="e">
        <f>VLOOKUP(C89,'[1]World Population (2022) '!$B$2:$F$236,4,FALSE)</f>
        <v>#N/A</v>
      </c>
      <c r="G89" s="4" t="e">
        <f>VLOOKUP(C89,'[1]World Population (2022) '!$B$2:$F$236,5,FALSE)</f>
        <v>#N/A</v>
      </c>
      <c r="J89" s="8"/>
    </row>
    <row r="90" spans="1:10" x14ac:dyDescent="0.25">
      <c r="A90" s="2">
        <v>89</v>
      </c>
      <c r="B90" s="2" t="s">
        <v>195</v>
      </c>
      <c r="C90" s="2" t="s">
        <v>196</v>
      </c>
      <c r="D90" s="2">
        <f>VLOOKUP(C90,'[1]World Population (2022) '!$B$2:$C$236,2,FALSE)</f>
        <v>-6800</v>
      </c>
      <c r="E90" s="2">
        <f>VLOOKUP(D90,'[1]World Population (2022) '!$C$2:$D$236,2,FALSE)</f>
        <v>2.5</v>
      </c>
      <c r="F90" s="2">
        <f>VLOOKUP(C90,'[1]World Population (2022) '!$B$2:$F$236,4,FALSE)</f>
        <v>24</v>
      </c>
      <c r="G90" s="4">
        <f>VLOOKUP(C90,'[1]World Population (2022) '!$B$2:$F$236,5,FALSE)</f>
        <v>0.56999999999999995</v>
      </c>
      <c r="J90" s="8"/>
    </row>
    <row r="91" spans="1:10" x14ac:dyDescent="0.25">
      <c r="A91" s="2">
        <v>90</v>
      </c>
      <c r="B91" s="2" t="s">
        <v>197</v>
      </c>
      <c r="C91" s="2" t="s">
        <v>198</v>
      </c>
      <c r="D91" s="2">
        <f>VLOOKUP(C91,'[1]World Population (2022) '!$B$2:$C$236,2,FALSE)</f>
        <v>-16000</v>
      </c>
      <c r="E91" s="2">
        <f>VLOOKUP(D91,'[1]World Population (2022) '!$C$2:$D$236,2,FALSE)</f>
        <v>1.3</v>
      </c>
      <c r="F91" s="2">
        <f>VLOOKUP(C91,'[1]World Population (2022) '!$B$2:$F$236,4,FALSE)</f>
        <v>46</v>
      </c>
      <c r="G91" s="4">
        <f>VLOOKUP(C91,'[1]World Population (2022) '!$B$2:$F$236,5,FALSE)</f>
        <v>0.85</v>
      </c>
      <c r="J91" s="8"/>
    </row>
    <row r="92" spans="1:10" x14ac:dyDescent="0.25">
      <c r="A92" s="2">
        <v>91</v>
      </c>
      <c r="B92" s="2" t="s">
        <v>199</v>
      </c>
      <c r="C92" s="2" t="s">
        <v>200</v>
      </c>
      <c r="D92" s="2">
        <f>VLOOKUP(C92,'[1]World Population (2022) '!$B$2:$C$236,2,FALSE)</f>
        <v>1200</v>
      </c>
      <c r="E92" s="2">
        <f>VLOOKUP(D92,'[1]World Population (2022) '!$C$2:$D$236,2,FALSE)</f>
        <v>2.1</v>
      </c>
      <c r="F92" s="2">
        <f>VLOOKUP(C92,'[1]World Population (2022) '!$B$2:$F$236,4,FALSE)</f>
        <v>32</v>
      </c>
      <c r="G92" s="4">
        <f>VLOOKUP(C92,'[1]World Population (2022) '!$B$2:$F$236,5,FALSE)</f>
        <v>0.56000000000000005</v>
      </c>
      <c r="J92" s="8"/>
    </row>
    <row r="93" spans="1:10" x14ac:dyDescent="0.25">
      <c r="A93" s="2">
        <v>92</v>
      </c>
      <c r="B93" s="2" t="s">
        <v>201</v>
      </c>
      <c r="C93" s="2" t="s">
        <v>202</v>
      </c>
      <c r="D93" s="2">
        <f>VLOOKUP(C93,'[1]World Population (2022) '!$B$2:$C$236,2,FALSE)</f>
        <v>-6000</v>
      </c>
      <c r="E93" s="2">
        <f>VLOOKUP(D93,'[1]World Population (2022) '!$C$2:$D$236,2,FALSE)</f>
        <v>1.3</v>
      </c>
      <c r="F93" s="2">
        <f>VLOOKUP(C93,'[1]World Population (2022) '!$B$2:$F$236,4,FALSE)</f>
        <v>46</v>
      </c>
      <c r="G93" s="4">
        <f>VLOOKUP(C93,'[1]World Population (2022) '!$B$2:$F$236,5,FALSE)</f>
        <v>0.66</v>
      </c>
      <c r="J93" s="8"/>
    </row>
    <row r="94" spans="1:10" x14ac:dyDescent="0.25">
      <c r="A94" s="2">
        <v>93</v>
      </c>
      <c r="B94" s="2" t="s">
        <v>203</v>
      </c>
      <c r="C94" s="2" t="s">
        <v>204</v>
      </c>
      <c r="D94" s="2">
        <f>VLOOKUP(C94,'[1]World Population (2022) '!$B$2:$C$236,2,FALSE)</f>
        <v>-800</v>
      </c>
      <c r="E94" s="2">
        <f>VLOOKUP(D94,'[1]World Population (2022) '!$C$2:$D$236,2,FALSE)</f>
        <v>3.6</v>
      </c>
      <c r="F94" s="2">
        <f>VLOOKUP(C94,'[1]World Population (2022) '!$B$2:$F$236,4,FALSE)</f>
        <v>22</v>
      </c>
      <c r="G94" s="4">
        <f>VLOOKUP(C94,'[1]World Population (2022) '!$B$2:$F$236,5,FALSE)</f>
        <v>0.13</v>
      </c>
      <c r="J94" s="8"/>
    </row>
    <row r="95" spans="1:10" x14ac:dyDescent="0.25">
      <c r="A95" s="2">
        <v>94</v>
      </c>
      <c r="B95" s="2" t="s">
        <v>205</v>
      </c>
      <c r="C95" s="2" t="s">
        <v>206</v>
      </c>
      <c r="D95" s="2">
        <f>VLOOKUP(C95,'[1]World Population (2022) '!$B$2:$C$236,2,FALSE)</f>
        <v>6000</v>
      </c>
      <c r="E95" s="2">
        <f>VLOOKUP(D95,'[1]World Population (2022) '!$C$2:$D$236,2,FALSE)</f>
        <v>1.5</v>
      </c>
      <c r="F95" s="2">
        <f>VLOOKUP(C95,'[1]World Population (2022) '!$B$2:$F$236,4,FALSE)</f>
        <v>43</v>
      </c>
      <c r="G95" s="4">
        <f>VLOOKUP(C95,'[1]World Population (2022) '!$B$2:$F$236,5,FALSE)</f>
        <v>0.72</v>
      </c>
      <c r="J95" s="8"/>
    </row>
    <row r="96" spans="1:10" x14ac:dyDescent="0.25">
      <c r="A96" s="2">
        <v>95</v>
      </c>
      <c r="B96" s="2" t="s">
        <v>207</v>
      </c>
      <c r="C96" s="2" t="s">
        <v>208</v>
      </c>
      <c r="D96" s="2">
        <f>VLOOKUP(C96,'[1]World Population (2022) '!$B$2:$C$236,2,FALSE)</f>
        <v>-20000</v>
      </c>
      <c r="E96" s="2">
        <f>VLOOKUP(D96,'[1]World Population (2022) '!$C$2:$D$236,2,FALSE)</f>
        <v>4.7</v>
      </c>
      <c r="F96" s="2">
        <f>VLOOKUP(C96,'[1]World Population (2022) '!$B$2:$F$236,4,FALSE)</f>
        <v>22</v>
      </c>
      <c r="G96" s="4">
        <f>VLOOKUP(C96,'[1]World Population (2022) '!$B$2:$F$236,5,FALSE)</f>
        <v>0.27</v>
      </c>
      <c r="J96" s="8"/>
    </row>
    <row r="97" spans="1:10" x14ac:dyDescent="0.25">
      <c r="A97" s="2">
        <v>96</v>
      </c>
      <c r="B97" s="2" t="s">
        <v>209</v>
      </c>
      <c r="C97" s="2" t="s">
        <v>210</v>
      </c>
      <c r="D97" s="2">
        <f>VLOOKUP(C97,'[1]World Population (2022) '!$B$2:$C$236,2,FALSE)</f>
        <v>8730</v>
      </c>
      <c r="E97" s="2">
        <f>VLOOKUP(D97,'[1]World Population (2022) '!$C$2:$D$236,2,FALSE)</f>
        <v>1.7</v>
      </c>
      <c r="F97" s="2">
        <f>VLOOKUP(C97,'[1]World Population (2022) '!$B$2:$F$236,4,FALSE)</f>
        <v>40</v>
      </c>
      <c r="G97" s="4">
        <f>VLOOKUP(C97,'[1]World Population (2022) '!$B$2:$F$236,5,FALSE)</f>
        <v>0.79</v>
      </c>
      <c r="J97" s="8"/>
    </row>
    <row r="98" spans="1:10" x14ac:dyDescent="0.25">
      <c r="A98" s="2">
        <v>97</v>
      </c>
      <c r="B98" s="2" t="s">
        <v>211</v>
      </c>
      <c r="C98" s="2" t="s">
        <v>212</v>
      </c>
      <c r="D98" s="2">
        <f>VLOOKUP(C98,'[1]World Population (2022) '!$B$2:$C$236,2,FALSE)</f>
        <v>40000</v>
      </c>
      <c r="E98" s="2">
        <f>VLOOKUP(D98,'[1]World Population (2022) '!$C$2:$D$236,2,FALSE)</f>
        <v>1.3</v>
      </c>
      <c r="F98" s="2">
        <f>VLOOKUP(C98,'[1]World Population (2022) '!$B$2:$F$236,4,FALSE)</f>
        <v>33</v>
      </c>
      <c r="G98" s="4">
        <f>VLOOKUP(C98,'[1]World Population (2022) '!$B$2:$F$236,5,FALSE)</f>
        <v>0.86</v>
      </c>
      <c r="J98" s="8"/>
    </row>
    <row r="99" spans="1:10" x14ac:dyDescent="0.25">
      <c r="A99" s="2">
        <v>98</v>
      </c>
      <c r="B99" s="2" t="s">
        <v>213</v>
      </c>
      <c r="C99" s="2" t="s">
        <v>214</v>
      </c>
      <c r="D99" s="2">
        <f>VLOOKUP(C99,'[1]World Population (2022) '!$B$2:$C$236,2,FALSE)</f>
        <v>10000</v>
      </c>
      <c r="E99" s="2">
        <f>VLOOKUP(D99,'[1]World Population (2022) '!$C$2:$D$236,2,FALSE)</f>
        <v>1.4</v>
      </c>
      <c r="F99" s="2">
        <f>VLOOKUP(C99,'[1]World Population (2022) '!$B$2:$F$236,4,FALSE)</f>
        <v>30</v>
      </c>
      <c r="G99" s="4">
        <f>VLOOKUP(C99,'[1]World Population (2022) '!$B$2:$F$236,5,FALSE)</f>
        <v>0.93</v>
      </c>
      <c r="J99" s="8"/>
    </row>
    <row r="100" spans="1:10" x14ac:dyDescent="0.25">
      <c r="A100" s="2">
        <v>99</v>
      </c>
      <c r="B100" s="2" t="s">
        <v>215</v>
      </c>
      <c r="C100" s="2" t="s">
        <v>216</v>
      </c>
      <c r="D100" s="2">
        <f>VLOOKUP(C100,'[1]World Population (2022) '!$B$2:$C$236,2,FALSE)</f>
        <v>65000</v>
      </c>
      <c r="E100" s="2">
        <f>VLOOKUP(D100,'[1]World Population (2022) '!$C$2:$D$236,2,FALSE)</f>
        <v>1.5</v>
      </c>
      <c r="F100" s="2">
        <f>VLOOKUP(C100,'[1]World Population (2022) '!$B$2:$F$236,4,FALSE)</f>
        <v>43</v>
      </c>
      <c r="G100" s="4">
        <f>VLOOKUP(C100,'[1]World Population (2022) '!$B$2:$F$236,5,FALSE)</f>
        <v>0.56999999999999995</v>
      </c>
      <c r="J100" s="8"/>
    </row>
    <row r="101" spans="1:10" x14ac:dyDescent="0.25">
      <c r="A101" s="2">
        <v>100</v>
      </c>
      <c r="B101" s="2" t="s">
        <v>217</v>
      </c>
      <c r="C101" s="2" t="s">
        <v>218</v>
      </c>
      <c r="D101" s="2">
        <f>VLOOKUP(C101,'[1]World Population (2022) '!$B$2:$C$236,2,FALSE)</f>
        <v>-2000</v>
      </c>
      <c r="E101" s="2">
        <f>VLOOKUP(D101,'[1]World Population (2022) '!$C$2:$D$236,2,FALSE)</f>
        <v>4.9000000000000004</v>
      </c>
      <c r="F101" s="2">
        <f>VLOOKUP(C101,'[1]World Population (2022) '!$B$2:$F$236,4,FALSE)</f>
        <v>19</v>
      </c>
      <c r="G101" s="4">
        <f>VLOOKUP(C101,'[1]World Population (2022) '!$B$2:$F$236,5,FALSE)</f>
        <v>0.43</v>
      </c>
      <c r="J101" s="8"/>
    </row>
    <row r="102" spans="1:10" x14ac:dyDescent="0.25">
      <c r="A102" s="2">
        <v>101</v>
      </c>
      <c r="B102" s="2" t="s">
        <v>219</v>
      </c>
      <c r="C102" s="2" t="s">
        <v>220</v>
      </c>
      <c r="D102" s="2">
        <f>VLOOKUP(C102,'[1]World Population (2022) '!$B$2:$C$236,2,FALSE)</f>
        <v>52000</v>
      </c>
      <c r="E102" s="2">
        <f>VLOOKUP(D102,'[1]World Population (2022) '!$C$2:$D$236,2,FALSE)</f>
        <v>1.5</v>
      </c>
      <c r="F102" s="2">
        <f>VLOOKUP(C102,'[1]World Population (2022) '!$B$2:$F$236,4,FALSE)</f>
        <v>43</v>
      </c>
      <c r="G102" s="4">
        <f>VLOOKUP(C102,'[1]World Population (2022) '!$B$2:$F$236,5,FALSE)</f>
        <v>0.74</v>
      </c>
      <c r="J102" s="8"/>
    </row>
    <row r="103" spans="1:10" x14ac:dyDescent="0.25">
      <c r="A103" s="2">
        <v>102</v>
      </c>
      <c r="B103" s="2" t="s">
        <v>221</v>
      </c>
      <c r="C103" s="2" t="s">
        <v>222</v>
      </c>
      <c r="D103" s="2">
        <f>VLOOKUP(C103,'[1]World Population (2022) '!$B$2:$C$236,2,FALSE)</f>
        <v>-4200</v>
      </c>
      <c r="E103" s="2">
        <f>VLOOKUP(D103,'[1]World Population (2022) '!$C$2:$D$236,2,FALSE)</f>
        <v>4.3</v>
      </c>
      <c r="F103" s="2">
        <f>VLOOKUP(C103,'[1]World Population (2022) '!$B$2:$F$236,4,FALSE)</f>
        <v>19</v>
      </c>
      <c r="G103" s="4">
        <f>VLOOKUP(C103,'[1]World Population (2022) '!$B$2:$F$236,5,FALSE)</f>
        <v>0.43</v>
      </c>
      <c r="J103" s="8"/>
    </row>
    <row r="104" spans="1:10" x14ac:dyDescent="0.25">
      <c r="A104" s="2">
        <v>103</v>
      </c>
      <c r="B104" s="2" t="s">
        <v>223</v>
      </c>
      <c r="C104" s="2" t="s">
        <v>224</v>
      </c>
      <c r="D104" s="2">
        <f>VLOOKUP(C104,'[1]World Population (2022) '!$B$2:$C$236,2,FALSE)</f>
        <v>-14704</v>
      </c>
      <c r="E104" s="2">
        <f>VLOOKUP(D104,'[1]World Population (2022) '!$C$2:$D$236,2,FALSE)</f>
        <v>2.7</v>
      </c>
      <c r="F104" s="2">
        <f>VLOOKUP(C104,'[1]World Population (2022) '!$B$2:$F$236,4,FALSE)</f>
        <v>24</v>
      </c>
      <c r="G104" s="4">
        <f>VLOOKUP(C104,'[1]World Population (2022) '!$B$2:$F$236,5,FALSE)</f>
        <v>0.36</v>
      </c>
      <c r="J104" s="8"/>
    </row>
    <row r="105" spans="1:10" x14ac:dyDescent="0.25">
      <c r="A105" s="2">
        <v>104</v>
      </c>
      <c r="B105" s="2" t="s">
        <v>225</v>
      </c>
      <c r="C105" s="2" t="s">
        <v>226</v>
      </c>
      <c r="D105" s="2">
        <f>VLOOKUP(C105,'[1]World Population (2022) '!$B$2:$C$236,2,FALSE)</f>
        <v>29308</v>
      </c>
      <c r="E105" s="2">
        <f>VLOOKUP(D105,'[1]World Population (2022) '!$C$2:$D$236,2,FALSE)</f>
        <v>1.3</v>
      </c>
      <c r="F105" s="2">
        <f>VLOOKUP(C105,'[1]World Population (2022) '!$B$2:$F$236,4,FALSE)</f>
        <v>45</v>
      </c>
      <c r="G105" s="4" t="str">
        <f>VLOOKUP(C105,'[1]World Population (2022) '!$B$2:$F$236,5,FALSE)</f>
        <v>N.A.</v>
      </c>
      <c r="J105" s="8"/>
    </row>
    <row r="106" spans="1:10" x14ac:dyDescent="0.25">
      <c r="A106" s="2">
        <v>105</v>
      </c>
      <c r="B106" s="2" t="s">
        <v>227</v>
      </c>
      <c r="C106" s="2" t="s">
        <v>228</v>
      </c>
      <c r="D106" s="2">
        <f>VLOOKUP(C106,'[1]World Population (2022) '!$B$2:$C$236,2,FALSE)</f>
        <v>4000</v>
      </c>
      <c r="E106" s="2">
        <f>VLOOKUP(D106,'[1]World Population (2022) '!$C$2:$D$236,2,FALSE)</f>
        <v>7</v>
      </c>
      <c r="F106" s="2">
        <f>VLOOKUP(C106,'[1]World Population (2022) '!$B$2:$F$236,4,FALSE)</f>
        <v>42</v>
      </c>
      <c r="G106" s="4">
        <f>VLOOKUP(C106,'[1]World Population (2022) '!$B$2:$F$236,5,FALSE)</f>
        <v>0.56000000000000005</v>
      </c>
      <c r="J106" s="8"/>
    </row>
    <row r="107" spans="1:10" x14ac:dyDescent="0.25">
      <c r="A107" s="2">
        <v>106</v>
      </c>
      <c r="B107" s="2" t="s">
        <v>229</v>
      </c>
      <c r="C107" s="2" t="s">
        <v>230</v>
      </c>
      <c r="D107" s="2">
        <f>VLOOKUP(C107,'[1]World Population (2022) '!$B$2:$C$236,2,FALSE)</f>
        <v>-21272</v>
      </c>
      <c r="E107" s="2">
        <f>VLOOKUP(D107,'[1]World Population (2022) '!$C$2:$D$236,2,FALSE)</f>
        <v>2.4</v>
      </c>
      <c r="F107" s="2">
        <f>VLOOKUP(C107,'[1]World Population (2022) '!$B$2:$F$236,4,FALSE)</f>
        <v>26</v>
      </c>
      <c r="G107" s="4">
        <f>VLOOKUP(C107,'[1]World Population (2022) '!$B$2:$F$236,5,FALSE)</f>
        <v>0.56999999999999995</v>
      </c>
      <c r="J107" s="8"/>
    </row>
    <row r="108" spans="1:10" x14ac:dyDescent="0.25">
      <c r="A108" s="2">
        <v>107</v>
      </c>
      <c r="B108" s="2" t="s">
        <v>231</v>
      </c>
      <c r="C108" s="2" t="s">
        <v>232</v>
      </c>
      <c r="D108" s="2">
        <f>VLOOKUP(C108,'[1]World Population (2022) '!$B$2:$C$236,2,FALSE)</f>
        <v>-1999</v>
      </c>
      <c r="E108" s="2">
        <f>VLOOKUP(D108,'[1]World Population (2022) '!$C$2:$D$236,2,FALSE)</f>
        <v>2.2999999999999998</v>
      </c>
      <c r="F108" s="2">
        <f>VLOOKUP(C108,'[1]World Population (2022) '!$B$2:$F$236,4,FALSE)</f>
        <v>29</v>
      </c>
      <c r="G108" s="4">
        <f>VLOOKUP(C108,'[1]World Population (2022) '!$B$2:$F$236,5,FALSE)</f>
        <v>0.78</v>
      </c>
      <c r="J108" s="8"/>
    </row>
    <row r="109" spans="1:10" x14ac:dyDescent="0.25">
      <c r="A109" s="2">
        <v>108</v>
      </c>
      <c r="B109" s="2" t="s">
        <v>233</v>
      </c>
      <c r="C109" s="2" t="s">
        <v>234</v>
      </c>
      <c r="D109" s="2">
        <f>VLOOKUP(C109,'[1]World Population (2022) '!$B$2:$C$236,2,FALSE)</f>
        <v>-4800</v>
      </c>
      <c r="E109" s="2">
        <f>VLOOKUP(D109,'[1]World Population (2022) '!$C$2:$D$236,2,FALSE)</f>
        <v>4.5999999999999996</v>
      </c>
      <c r="F109" s="2">
        <f>VLOOKUP(C109,'[1]World Population (2022) '!$B$2:$F$236,4,FALSE)</f>
        <v>45</v>
      </c>
      <c r="G109" s="4">
        <f>VLOOKUP(C109,'[1]World Population (2022) '!$B$2:$F$236,5,FALSE)</f>
        <v>0.76</v>
      </c>
      <c r="J109" s="8"/>
    </row>
    <row r="110" spans="1:10" x14ac:dyDescent="0.25">
      <c r="A110" s="2">
        <v>109</v>
      </c>
      <c r="B110" s="2" t="s">
        <v>235</v>
      </c>
      <c r="C110" s="2" t="s">
        <v>236</v>
      </c>
      <c r="D110" s="2">
        <f>VLOOKUP(C110,'[1]World Population (2022) '!$B$2:$C$236,2,FALSE)</f>
        <v>-16556</v>
      </c>
      <c r="E110" s="2">
        <f>VLOOKUP(D110,'[1]World Population (2022) '!$C$2:$D$236,2,FALSE)</f>
        <v>2.4</v>
      </c>
      <c r="F110" s="2">
        <f>VLOOKUP(C110,'[1]World Population (2022) '!$B$2:$F$236,4,FALSE)</f>
        <v>26</v>
      </c>
      <c r="G110" s="4">
        <f>VLOOKUP(C110,'[1]World Population (2022) '!$B$2:$F$236,5,FALSE)</f>
        <v>0.62</v>
      </c>
      <c r="J110" s="8"/>
    </row>
    <row r="111" spans="1:10" x14ac:dyDescent="0.25">
      <c r="A111" s="2">
        <v>110</v>
      </c>
      <c r="B111" s="2" t="s">
        <v>237</v>
      </c>
      <c r="C111" s="2" t="s">
        <v>238</v>
      </c>
      <c r="D111" s="2">
        <f>VLOOKUP(C111,'[1]World Population (2022) '!$B$2:$C$236,2,FALSE)</f>
        <v>-4000</v>
      </c>
      <c r="E111" s="2">
        <f>VLOOKUP(D111,'[1]World Population (2022) '!$C$2:$D$236,2,FALSE)</f>
        <v>4.7</v>
      </c>
      <c r="F111" s="2">
        <f>VLOOKUP(C111,'[1]World Population (2022) '!$B$2:$F$236,4,FALSE)</f>
        <v>26</v>
      </c>
      <c r="G111" s="4">
        <f>VLOOKUP(C111,'[1]World Population (2022) '!$B$2:$F$236,5,FALSE)</f>
        <v>0.36</v>
      </c>
      <c r="J111" s="8"/>
    </row>
    <row r="112" spans="1:10" x14ac:dyDescent="0.25">
      <c r="A112" s="2">
        <v>111</v>
      </c>
      <c r="B112" s="2" t="s">
        <v>239</v>
      </c>
      <c r="C112" s="2" t="s">
        <v>240</v>
      </c>
      <c r="D112" s="2">
        <f>VLOOKUP(C112,'[1]World Population (2022) '!$B$2:$C$236,2,FALSE)</f>
        <v>-5000</v>
      </c>
      <c r="E112" s="2">
        <f>VLOOKUP(D112,'[1]World Population (2022) '!$C$2:$D$236,2,FALSE)</f>
        <v>4.9000000000000004</v>
      </c>
      <c r="F112" s="2">
        <f>VLOOKUP(C112,'[1]World Population (2022) '!$B$2:$F$236,4,FALSE)</f>
        <v>27</v>
      </c>
      <c r="G112" s="4">
        <f>VLOOKUP(C112,'[1]World Population (2022) '!$B$2:$F$236,5,FALSE)</f>
        <v>0.53</v>
      </c>
      <c r="J112" s="8"/>
    </row>
    <row r="113" spans="1:10" x14ac:dyDescent="0.25">
      <c r="A113" s="2">
        <v>112</v>
      </c>
      <c r="B113" s="2" t="s">
        <v>241</v>
      </c>
      <c r="C113" s="2" t="s">
        <v>242</v>
      </c>
      <c r="D113" s="2">
        <f>VLOOKUP(C113,'[1]World Population (2022) '!$B$2:$C$236,2,FALSE)</f>
        <v>-40539</v>
      </c>
      <c r="E113" s="2">
        <f>VLOOKUP(D113,'[1]World Population (2022) '!$C$2:$D$236,2,FALSE)</f>
        <v>2.1</v>
      </c>
      <c r="F113" s="2">
        <f>VLOOKUP(C113,'[1]World Population (2022) '!$B$2:$F$236,4,FALSE)</f>
        <v>28</v>
      </c>
      <c r="G113" s="4">
        <f>VLOOKUP(C113,'[1]World Population (2022) '!$B$2:$F$236,5,FALSE)</f>
        <v>0.73</v>
      </c>
      <c r="J113" s="8"/>
    </row>
    <row r="114" spans="1:10" x14ac:dyDescent="0.25">
      <c r="A114" s="2">
        <v>113</v>
      </c>
      <c r="B114" s="2" t="s">
        <v>243</v>
      </c>
      <c r="C114" s="2" t="s">
        <v>244</v>
      </c>
      <c r="D114" s="2">
        <f>VLOOKUP(C114,'[1]World Population (2022) '!$B$2:$C$236,2,FALSE)</f>
        <v>27028</v>
      </c>
      <c r="E114" s="2">
        <f>VLOOKUP(D114,'[1]World Population (2022) '!$C$2:$D$236,2,FALSE)</f>
        <v>1.2</v>
      </c>
      <c r="F114" s="2">
        <f>VLOOKUP(C114,'[1]World Population (2022) '!$B$2:$F$236,4,FALSE)</f>
        <v>42</v>
      </c>
      <c r="G114" s="4" t="str">
        <f>VLOOKUP(C114,'[1]World Population (2022) '!$B$2:$F$236,5,FALSE)</f>
        <v>N.A.</v>
      </c>
      <c r="J114" s="8"/>
    </row>
    <row r="115" spans="1:10" x14ac:dyDescent="0.25">
      <c r="A115" s="2">
        <v>114</v>
      </c>
      <c r="B115" s="2" t="s">
        <v>245</v>
      </c>
      <c r="C115" s="2" t="s">
        <v>246</v>
      </c>
      <c r="D115" s="2" t="e">
        <f>VLOOKUP(C115,'[1]World Population (2022) '!$B$2:$C$236,2,FALSE)</f>
        <v>#N/A</v>
      </c>
      <c r="E115" s="2" t="e">
        <f>VLOOKUP(D115,'[1]World Population (2022) '!$C$2:$D$236,2,FALSE)</f>
        <v>#N/A</v>
      </c>
      <c r="F115" s="2" t="e">
        <f>VLOOKUP(C115,'[1]World Population (2022) '!$B$2:$F$236,4,FALSE)</f>
        <v>#N/A</v>
      </c>
      <c r="G115" s="4" t="e">
        <f>VLOOKUP(C115,'[1]World Population (2022) '!$B$2:$F$236,5,FALSE)</f>
        <v>#N/A</v>
      </c>
      <c r="J115" s="8"/>
    </row>
    <row r="116" spans="1:10" x14ac:dyDescent="0.25">
      <c r="A116" s="2">
        <v>115</v>
      </c>
      <c r="B116" s="2" t="s">
        <v>247</v>
      </c>
      <c r="C116" s="2" t="s">
        <v>248</v>
      </c>
      <c r="D116" s="2">
        <f>VLOOKUP(C116,'[1]World Population (2022) '!$B$2:$C$236,2,FALSE)</f>
        <v>15200</v>
      </c>
      <c r="E116" s="2">
        <f>VLOOKUP(D116,'[1]World Population (2022) '!$C$2:$D$236,2,FALSE)</f>
        <v>1.8</v>
      </c>
      <c r="F116" s="2">
        <f>VLOOKUP(C116,'[1]World Population (2022) '!$B$2:$F$236,4,FALSE)</f>
        <v>42</v>
      </c>
      <c r="G116" s="4">
        <f>VLOOKUP(C116,'[1]World Population (2022) '!$B$2:$F$236,5,FALSE)</f>
        <v>0.88</v>
      </c>
      <c r="J116" s="8"/>
    </row>
    <row r="117" spans="1:10" x14ac:dyDescent="0.25">
      <c r="A117" s="2">
        <v>116</v>
      </c>
      <c r="B117" s="2" t="s">
        <v>249</v>
      </c>
      <c r="C117" s="2" t="s">
        <v>250</v>
      </c>
      <c r="D117" s="2">
        <f>VLOOKUP(C117,'[1]World Population (2022) '!$B$2:$C$236,2,FALSE)</f>
        <v>1485</v>
      </c>
      <c r="E117" s="2">
        <f>VLOOKUP(D117,'[1]World Population (2022) '!$C$2:$D$236,2,FALSE)</f>
        <v>1.5</v>
      </c>
      <c r="F117" s="2">
        <f>VLOOKUP(C117,'[1]World Population (2022) '!$B$2:$F$236,4,FALSE)</f>
        <v>41</v>
      </c>
      <c r="G117" s="4">
        <f>VLOOKUP(C117,'[1]World Population (2022) '!$B$2:$F$236,5,FALSE)</f>
        <v>0.54</v>
      </c>
      <c r="J117" s="8"/>
    </row>
    <row r="118" spans="1:10" x14ac:dyDescent="0.25">
      <c r="A118" s="2">
        <v>117</v>
      </c>
      <c r="B118" s="2" t="s">
        <v>251</v>
      </c>
      <c r="C118" s="2" t="s">
        <v>252</v>
      </c>
      <c r="D118" s="2">
        <f>VLOOKUP(C118,'[1]World Population (2022) '!$B$2:$C$236,2,FALSE)</f>
        <v>-40000</v>
      </c>
      <c r="E118" s="2">
        <f>VLOOKUP(D118,'[1]World Population (2022) '!$C$2:$D$236,2,FALSE)</f>
        <v>5.9</v>
      </c>
      <c r="F118" s="2">
        <f>VLOOKUP(C118,'[1]World Population (2022) '!$B$2:$F$236,4,FALSE)</f>
        <v>18</v>
      </c>
      <c r="G118" s="4">
        <f>VLOOKUP(C118,'[1]World Population (2022) '!$B$2:$F$236,5,FALSE)</f>
        <v>0.43</v>
      </c>
      <c r="J118" s="8"/>
    </row>
    <row r="119" spans="1:10" x14ac:dyDescent="0.25">
      <c r="A119" s="2">
        <v>118</v>
      </c>
      <c r="B119" s="2" t="s">
        <v>253</v>
      </c>
      <c r="C119" s="2" t="s">
        <v>254</v>
      </c>
      <c r="D119" s="2">
        <f>VLOOKUP(C119,'[1]World Population (2022) '!$B$2:$C$236,2,FALSE)</f>
        <v>14000</v>
      </c>
      <c r="E119" s="2">
        <f>VLOOKUP(D119,'[1]World Population (2022) '!$C$2:$D$236,2,FALSE)</f>
        <v>1.5</v>
      </c>
      <c r="F119" s="2">
        <f>VLOOKUP(C119,'[1]World Population (2022) '!$B$2:$F$236,4,FALSE)</f>
        <v>43</v>
      </c>
      <c r="G119" s="4">
        <f>VLOOKUP(C119,'[1]World Population (2022) '!$B$2:$F$236,5,FALSE)</f>
        <v>0.86</v>
      </c>
      <c r="J119" s="8"/>
    </row>
    <row r="120" spans="1:10" x14ac:dyDescent="0.25">
      <c r="A120" s="2">
        <v>119</v>
      </c>
      <c r="B120" s="2" t="s">
        <v>255</v>
      </c>
      <c r="C120" s="2" t="s">
        <v>256</v>
      </c>
      <c r="D120" s="2">
        <f>VLOOKUP(C120,'[1]World Population (2022) '!$B$2:$C$236,2,FALSE)</f>
        <v>-30012</v>
      </c>
      <c r="E120" s="2">
        <f>VLOOKUP(D120,'[1]World Population (2022) '!$C$2:$D$236,2,FALSE)</f>
        <v>2.1</v>
      </c>
      <c r="F120" s="2">
        <f>VLOOKUP(C120,'[1]World Population (2022) '!$B$2:$F$236,4,FALSE)</f>
        <v>30</v>
      </c>
      <c r="G120" s="4">
        <f>VLOOKUP(C120,'[1]World Population (2022) '!$B$2:$F$236,5,FALSE)</f>
        <v>0.78</v>
      </c>
      <c r="J120" s="8"/>
    </row>
    <row r="121" spans="1:10" x14ac:dyDescent="0.25">
      <c r="A121" s="2">
        <v>120</v>
      </c>
      <c r="B121" s="2" t="s">
        <v>257</v>
      </c>
      <c r="C121" s="2" t="s">
        <v>258</v>
      </c>
      <c r="D121" s="2">
        <f>VLOOKUP(C121,'[1]World Population (2022) '!$B$2:$C$236,2,FALSE)</f>
        <v>28000</v>
      </c>
      <c r="E121" s="2">
        <f>VLOOKUP(D121,'[1]World Population (2022) '!$C$2:$D$236,2,FALSE)</f>
        <v>1.7</v>
      </c>
      <c r="F121" s="2">
        <f>VLOOKUP(C121,'[1]World Population (2022) '!$B$2:$F$236,4,FALSE)</f>
        <v>40</v>
      </c>
      <c r="G121" s="4">
        <f>VLOOKUP(C121,'[1]World Population (2022) '!$B$2:$F$236,5,FALSE)</f>
        <v>0.83</v>
      </c>
      <c r="J121" s="8"/>
    </row>
    <row r="122" spans="1:10" x14ac:dyDescent="0.25">
      <c r="A122" s="2">
        <v>121</v>
      </c>
      <c r="B122" s="2" t="s">
        <v>259</v>
      </c>
      <c r="C122" s="2" t="s">
        <v>260</v>
      </c>
      <c r="D122" s="2">
        <f>VLOOKUP(C122,'[1]World Population (2022) '!$B$2:$C$236,2,FALSE)</f>
        <v>-5000</v>
      </c>
      <c r="E122" s="2">
        <f>VLOOKUP(D122,'[1]World Population (2022) '!$C$2:$D$236,2,FALSE)</f>
        <v>4.9000000000000004</v>
      </c>
      <c r="F122" s="2">
        <f>VLOOKUP(C122,'[1]World Population (2022) '!$B$2:$F$236,4,FALSE)</f>
        <v>19</v>
      </c>
      <c r="G122" s="4">
        <f>VLOOKUP(C122,'[1]World Population (2022) '!$B$2:$F$236,5,FALSE)</f>
        <v>0.53</v>
      </c>
      <c r="J122" s="8"/>
    </row>
    <row r="123" spans="1:10" x14ac:dyDescent="0.25">
      <c r="A123" s="2">
        <v>122</v>
      </c>
      <c r="B123" s="2" t="s">
        <v>261</v>
      </c>
      <c r="C123" s="2" t="s">
        <v>262</v>
      </c>
      <c r="D123" s="2" t="e">
        <f>VLOOKUP(C123,'[1]World Population (2022) '!$B$2:$C$236,2,FALSE)</f>
        <v>#N/A</v>
      </c>
      <c r="E123" s="2" t="e">
        <f>VLOOKUP(D123,'[1]World Population (2022) '!$C$2:$D$236,2,FALSE)</f>
        <v>#N/A</v>
      </c>
      <c r="F123" s="2" t="e">
        <f>VLOOKUP(C123,'[1]World Population (2022) '!$B$2:$F$236,4,FALSE)</f>
        <v>#N/A</v>
      </c>
      <c r="G123" s="4" t="e">
        <f>VLOOKUP(C123,'[1]World Population (2022) '!$B$2:$F$236,5,FALSE)</f>
        <v>#N/A</v>
      </c>
      <c r="J123" s="8"/>
    </row>
    <row r="124" spans="1:10" x14ac:dyDescent="0.25">
      <c r="A124" s="2">
        <v>123</v>
      </c>
      <c r="B124" s="2" t="s">
        <v>263</v>
      </c>
      <c r="C124" s="2" t="s">
        <v>264</v>
      </c>
      <c r="D124" s="2">
        <f>VLOOKUP(C124,'[1]World Population (2022) '!$B$2:$C$236,2,FALSE)</f>
        <v>14881</v>
      </c>
      <c r="E124" s="2">
        <f>VLOOKUP(D124,'[1]World Population (2022) '!$C$2:$D$236,2,FALSE)</f>
        <v>1.9</v>
      </c>
      <c r="F124" s="2">
        <f>VLOOKUP(C124,'[1]World Population (2022) '!$B$2:$F$236,4,FALSE)</f>
        <v>38</v>
      </c>
      <c r="G124" s="4">
        <f>VLOOKUP(C124,'[1]World Population (2022) '!$B$2:$F$236,5,FALSE)</f>
        <v>0.87</v>
      </c>
      <c r="J124" s="8"/>
    </row>
    <row r="125" spans="1:10" x14ac:dyDescent="0.25">
      <c r="A125" s="2">
        <v>124</v>
      </c>
      <c r="B125" s="2" t="s">
        <v>265</v>
      </c>
      <c r="C125" s="2" t="s">
        <v>266</v>
      </c>
      <c r="D125" s="2">
        <f>VLOOKUP(C125,'[1]World Population (2022) '!$B$2:$C$236,2,FALSE)</f>
        <v>4200</v>
      </c>
      <c r="E125" s="2">
        <f>VLOOKUP(D125,'[1]World Population (2022) '!$C$2:$D$236,2,FALSE)</f>
        <v>1.8</v>
      </c>
      <c r="F125" s="2">
        <f>VLOOKUP(C125,'[1]World Population (2022) '!$B$2:$F$236,4,FALSE)</f>
        <v>33</v>
      </c>
      <c r="G125" s="4">
        <f>VLOOKUP(C125,'[1]World Population (2022) '!$B$2:$F$236,5,FALSE)</f>
        <v>0.8</v>
      </c>
      <c r="J125" s="8"/>
    </row>
    <row r="126" spans="1:10" x14ac:dyDescent="0.25">
      <c r="A126" s="2">
        <v>125</v>
      </c>
      <c r="B126" s="2" t="s">
        <v>267</v>
      </c>
      <c r="C126" s="2" t="s">
        <v>268</v>
      </c>
      <c r="D126" s="2">
        <f>VLOOKUP(C126,'[1]World Population (2022) '!$B$2:$C$236,2,FALSE)</f>
        <v>23604</v>
      </c>
      <c r="E126" s="2">
        <f>VLOOKUP(D126,'[1]World Population (2022) '!$C$2:$D$236,2,FALSE)</f>
        <v>1.8</v>
      </c>
      <c r="F126" s="2">
        <f>VLOOKUP(C126,'[1]World Population (2022) '!$B$2:$F$236,4,FALSE)</f>
        <v>38</v>
      </c>
      <c r="G126" s="4">
        <f>VLOOKUP(C126,'[1]World Population (2022) '!$B$2:$F$236,5,FALSE)</f>
        <v>0.63</v>
      </c>
      <c r="J126" s="8"/>
    </row>
    <row r="127" spans="1:10" x14ac:dyDescent="0.25">
      <c r="A127" s="2">
        <v>126</v>
      </c>
      <c r="B127" s="2" t="s">
        <v>269</v>
      </c>
      <c r="C127" s="2" t="s">
        <v>270</v>
      </c>
      <c r="D127" s="2">
        <f>VLOOKUP(C127,'[1]World Population (2022) '!$B$2:$C$236,2,FALSE)</f>
        <v>5000</v>
      </c>
      <c r="E127" s="2">
        <f>VLOOKUP(D127,'[1]World Population (2022) '!$C$2:$D$236,2,FALSE)</f>
        <v>4.5999999999999996</v>
      </c>
      <c r="F127" s="2">
        <f>VLOOKUP(C127,'[1]World Population (2022) '!$B$2:$F$236,4,FALSE)</f>
        <v>20</v>
      </c>
      <c r="G127" s="4">
        <f>VLOOKUP(C127,'[1]World Population (2022) '!$B$2:$F$236,5,FALSE)</f>
        <v>0.56999999999999995</v>
      </c>
      <c r="J127" s="8"/>
    </row>
    <row r="128" spans="1:10" x14ac:dyDescent="0.25">
      <c r="A128" s="2">
        <v>127</v>
      </c>
      <c r="B128" s="2" t="s">
        <v>271</v>
      </c>
      <c r="C128" s="2" t="s">
        <v>272</v>
      </c>
      <c r="D128" s="2">
        <f>VLOOKUP(C128,'[1]World Population (2022) '!$B$2:$C$236,2,FALSE)</f>
        <v>87400</v>
      </c>
      <c r="E128" s="2">
        <f>VLOOKUP(D128,'[1]World Population (2022) '!$C$2:$D$236,2,FALSE)</f>
        <v>2.9</v>
      </c>
      <c r="F128" s="2">
        <f>VLOOKUP(C128,'[1]World Population (2022) '!$B$2:$F$236,4,FALSE)</f>
        <v>31</v>
      </c>
      <c r="G128" s="4">
        <f>VLOOKUP(C128,'[1]World Population (2022) '!$B$2:$F$236,5,FALSE)</f>
        <v>0.87</v>
      </c>
      <c r="J128" s="8"/>
    </row>
    <row r="129" spans="1:10" x14ac:dyDescent="0.25">
      <c r="A129" s="2">
        <v>128</v>
      </c>
      <c r="B129" s="2" t="s">
        <v>273</v>
      </c>
      <c r="C129" s="2" t="s">
        <v>274</v>
      </c>
      <c r="D129" s="2">
        <f>VLOOKUP(C129,'[1]World Population (2022) '!$B$2:$C$236,2,FALSE)</f>
        <v>11200</v>
      </c>
      <c r="E129" s="2">
        <f>VLOOKUP(D129,'[1]World Population (2022) '!$C$2:$D$236,2,FALSE)</f>
        <v>2.5</v>
      </c>
      <c r="F129" s="2">
        <f>VLOOKUP(C129,'[1]World Population (2022) '!$B$2:$F$236,4,FALSE)</f>
        <v>30</v>
      </c>
      <c r="G129" s="4">
        <f>VLOOKUP(C129,'[1]World Population (2022) '!$B$2:$F$236,5,FALSE)</f>
        <v>0.68</v>
      </c>
      <c r="J129" s="8"/>
    </row>
    <row r="130" spans="1:10" x14ac:dyDescent="0.25">
      <c r="A130" s="2">
        <v>129</v>
      </c>
      <c r="B130" s="2" t="s">
        <v>275</v>
      </c>
      <c r="C130" s="2" t="s">
        <v>276</v>
      </c>
      <c r="D130" s="2">
        <f>VLOOKUP(C130,'[1]World Population (2022) '!$B$2:$C$236,2,FALSE)</f>
        <v>39520</v>
      </c>
      <c r="E130" s="2">
        <f>VLOOKUP(D130,'[1]World Population (2022) '!$C$2:$D$236,2,FALSE)</f>
        <v>2.1</v>
      </c>
      <c r="F130" s="2">
        <f>VLOOKUP(C130,'[1]World Population (2022) '!$B$2:$F$236,4,FALSE)</f>
        <v>37</v>
      </c>
      <c r="G130" s="4" t="str">
        <f>VLOOKUP(C130,'[1]World Population (2022) '!$B$2:$F$236,5,FALSE)</f>
        <v>N.A.</v>
      </c>
      <c r="J130" s="8"/>
    </row>
    <row r="131" spans="1:10" x14ac:dyDescent="0.25">
      <c r="A131" s="2">
        <v>130</v>
      </c>
      <c r="B131" s="2" t="s">
        <v>277</v>
      </c>
      <c r="C131" s="2" t="s">
        <v>278</v>
      </c>
      <c r="D131" s="2">
        <f>VLOOKUP(C131,'[1]World Population (2022) '!$B$2:$C$236,2,FALSE)</f>
        <v>-8001</v>
      </c>
      <c r="E131" s="2">
        <f>VLOOKUP(D131,'[1]World Population (2022) '!$C$2:$D$236,2,FALSE)</f>
        <v>1.4</v>
      </c>
      <c r="F131" s="2">
        <f>VLOOKUP(C131,'[1]World Population (2022) '!$B$2:$F$236,4,FALSE)</f>
        <v>44</v>
      </c>
      <c r="G131" s="4">
        <f>VLOOKUP(C131,'[1]World Population (2022) '!$B$2:$F$236,5,FALSE)</f>
        <v>0.57999999999999996</v>
      </c>
      <c r="J131" s="8"/>
    </row>
    <row r="132" spans="1:10" x14ac:dyDescent="0.25">
      <c r="A132" s="2">
        <v>131</v>
      </c>
      <c r="B132" s="2" t="s">
        <v>279</v>
      </c>
      <c r="C132" s="2" t="s">
        <v>280</v>
      </c>
      <c r="D132" s="2">
        <f>VLOOKUP(C132,'[1]World Population (2022) '!$B$2:$C$236,2,FALSE)</f>
        <v>-10000</v>
      </c>
      <c r="E132" s="2">
        <f>VLOOKUP(D132,'[1]World Population (2022) '!$C$2:$D$236,2,FALSE)</f>
        <v>3.5</v>
      </c>
      <c r="F132" s="2">
        <f>VLOOKUP(C132,'[1]World Population (2022) '!$B$2:$F$236,4,FALSE)</f>
        <v>38</v>
      </c>
      <c r="G132" s="4">
        <f>VLOOKUP(C132,'[1]World Population (2022) '!$B$2:$F$236,5,FALSE)</f>
        <v>0.57999999999999996</v>
      </c>
      <c r="J132" s="8"/>
    </row>
    <row r="133" spans="1:10" x14ac:dyDescent="0.25">
      <c r="A133" s="2">
        <v>132</v>
      </c>
      <c r="B133" s="2" t="s">
        <v>281</v>
      </c>
      <c r="C133" s="2" t="s">
        <v>282</v>
      </c>
      <c r="D133" s="2">
        <f>VLOOKUP(C133,'[1]World Population (2022) '!$B$2:$C$236,2,FALSE)</f>
        <v>-39858</v>
      </c>
      <c r="E133" s="2">
        <f>VLOOKUP(D133,'[1]World Population (2022) '!$C$2:$D$236,2,FALSE)</f>
        <v>4.0999999999999996</v>
      </c>
      <c r="F133" s="2">
        <f>VLOOKUP(C133,'[1]World Population (2022) '!$B$2:$F$236,4,FALSE)</f>
        <v>19</v>
      </c>
      <c r="G133" s="4">
        <f>VLOOKUP(C133,'[1]World Population (2022) '!$B$2:$F$236,5,FALSE)</f>
        <v>0.63</v>
      </c>
      <c r="J133" s="8"/>
    </row>
    <row r="134" spans="1:10" x14ac:dyDescent="0.25">
      <c r="A134" s="2">
        <v>133</v>
      </c>
      <c r="B134" s="2" t="s">
        <v>283</v>
      </c>
      <c r="C134" s="2" t="s">
        <v>284</v>
      </c>
      <c r="D134" s="2">
        <f>VLOOKUP(C134,'[1]World Population (2022) '!$B$2:$C$236,2,FALSE)</f>
        <v>-3000</v>
      </c>
      <c r="E134" s="2">
        <f>VLOOKUP(D134,'[1]World Population (2022) '!$C$2:$D$236,2,FALSE)</f>
        <v>2</v>
      </c>
      <c r="F134" s="2">
        <f>VLOOKUP(C134,'[1]World Population (2022) '!$B$2:$F$236,4,FALSE)</f>
        <v>36</v>
      </c>
      <c r="G134" s="4">
        <f>VLOOKUP(C134,'[1]World Population (2022) '!$B$2:$F$236,5,FALSE)</f>
        <v>0.96</v>
      </c>
      <c r="J134" s="8"/>
    </row>
    <row r="135" spans="1:10" x14ac:dyDescent="0.25">
      <c r="A135" s="2">
        <v>134</v>
      </c>
      <c r="B135" s="2" t="s">
        <v>285</v>
      </c>
      <c r="C135" s="2" t="s">
        <v>286</v>
      </c>
      <c r="D135" s="2">
        <f>VLOOKUP(C135,'[1]World Population (2022) '!$B$2:$C$236,2,FALSE)</f>
        <v>-852</v>
      </c>
      <c r="E135" s="2">
        <f>VLOOKUP(D135,'[1]World Population (2022) '!$C$2:$D$236,2,FALSE)</f>
        <v>2.9</v>
      </c>
      <c r="F135" s="2">
        <f>VLOOKUP(C135,'[1]World Population (2022) '!$B$2:$F$236,4,FALSE)</f>
        <v>28</v>
      </c>
      <c r="G135" s="4">
        <f>VLOOKUP(C135,'[1]World Population (2022) '!$B$2:$F$236,5,FALSE)</f>
        <v>0.67</v>
      </c>
      <c r="J135" s="8"/>
    </row>
    <row r="136" spans="1:10" x14ac:dyDescent="0.25">
      <c r="A136" s="2">
        <v>135</v>
      </c>
      <c r="B136" s="2" t="s">
        <v>287</v>
      </c>
      <c r="C136" s="2" t="s">
        <v>288</v>
      </c>
      <c r="D136" s="2">
        <f>VLOOKUP(C136,'[1]World Population (2022) '!$B$2:$C$236,2,FALSE)</f>
        <v>-1387</v>
      </c>
      <c r="E136" s="2">
        <f>VLOOKUP(D136,'[1]World Population (2022) '!$C$2:$D$236,2,FALSE)</f>
        <v>1.3</v>
      </c>
      <c r="F136" s="2">
        <f>VLOOKUP(C136,'[1]World Population (2022) '!$B$2:$F$236,4,FALSE)</f>
        <v>38</v>
      </c>
      <c r="G136" s="4">
        <f>VLOOKUP(C136,'[1]World Population (2022) '!$B$2:$F$236,5,FALSE)</f>
        <v>0.43</v>
      </c>
      <c r="J136" s="8"/>
    </row>
    <row r="137" spans="1:10" x14ac:dyDescent="0.25">
      <c r="A137" s="2">
        <v>136</v>
      </c>
      <c r="B137" s="2" t="s">
        <v>289</v>
      </c>
      <c r="C137" s="2" t="s">
        <v>290</v>
      </c>
      <c r="D137" s="2">
        <f>VLOOKUP(C137,'[1]World Population (2022) '!$B$2:$C$236,2,FALSE)</f>
        <v>-97986</v>
      </c>
      <c r="E137" s="2">
        <f>VLOOKUP(D137,'[1]World Population (2022) '!$C$2:$D$236,2,FALSE)</f>
        <v>2.2000000000000002</v>
      </c>
      <c r="F137" s="2">
        <f>VLOOKUP(C137,'[1]World Population (2022) '!$B$2:$F$236,4,FALSE)</f>
        <v>44</v>
      </c>
      <c r="G137" s="4" t="str">
        <f>VLOOKUP(C137,'[1]World Population (2022) '!$B$2:$F$236,5,FALSE)</f>
        <v>N.A.</v>
      </c>
      <c r="J137" s="8"/>
    </row>
    <row r="138" spans="1:10" x14ac:dyDescent="0.25">
      <c r="A138" s="2">
        <v>137</v>
      </c>
      <c r="B138" s="2" t="s">
        <v>291</v>
      </c>
      <c r="C138" s="2" t="s">
        <v>292</v>
      </c>
      <c r="D138" s="2">
        <f>VLOOKUP(C138,'[1]World Population (2022) '!$B$2:$C$236,2,FALSE)</f>
        <v>-21585</v>
      </c>
      <c r="E138" s="2">
        <f>VLOOKUP(D138,'[1]World Population (2022) '!$C$2:$D$236,2,FALSE)</f>
        <v>1.3</v>
      </c>
      <c r="F138" s="2">
        <f>VLOOKUP(C138,'[1]World Population (2022) '!$B$2:$F$236,4,FALSE)</f>
        <v>43</v>
      </c>
      <c r="G138" s="4">
        <f>VLOOKUP(C138,'[1]World Population (2022) '!$B$2:$F$236,5,FALSE)</f>
        <v>0.52</v>
      </c>
      <c r="J138" s="8"/>
    </row>
    <row r="139" spans="1:10" x14ac:dyDescent="0.25">
      <c r="A139" s="2">
        <v>138</v>
      </c>
      <c r="B139" s="2" t="s">
        <v>293</v>
      </c>
      <c r="C139" s="2" t="s">
        <v>294</v>
      </c>
      <c r="D139" s="2">
        <f>VLOOKUP(C139,'[1]World Population (2022) '!$B$2:$C$236,2,FALSE)</f>
        <v>-14000</v>
      </c>
      <c r="E139" s="2">
        <f>VLOOKUP(D139,'[1]World Population (2022) '!$C$2:$D$236,2,FALSE)</f>
        <v>1.6</v>
      </c>
      <c r="F139" s="2">
        <f>VLOOKUP(C139,'[1]World Population (2022) '!$B$2:$F$236,4,FALSE)</f>
        <v>36</v>
      </c>
      <c r="G139" s="4">
        <f>VLOOKUP(C139,'[1]World Population (2022) '!$B$2:$F$236,5,FALSE)</f>
        <v>0.63</v>
      </c>
      <c r="J139" s="8"/>
    </row>
    <row r="140" spans="1:10" x14ac:dyDescent="0.25">
      <c r="A140" s="2">
        <v>139</v>
      </c>
      <c r="B140" s="2" t="s">
        <v>295</v>
      </c>
      <c r="C140" s="2" t="s">
        <v>296</v>
      </c>
      <c r="D140" s="2">
        <f>VLOOKUP(C140,'[1]World Population (2022) '!$B$2:$C$236,2,FALSE)</f>
        <v>-11332</v>
      </c>
      <c r="E140" s="2">
        <f>VLOOKUP(D140,'[1]World Population (2022) '!$C$2:$D$236,2,FALSE)</f>
        <v>2</v>
      </c>
      <c r="F140" s="2">
        <f>VLOOKUP(C140,'[1]World Population (2022) '!$B$2:$F$236,4,FALSE)</f>
        <v>31</v>
      </c>
      <c r="G140" s="4">
        <f>VLOOKUP(C140,'[1]World Population (2022) '!$B$2:$F$236,5,FALSE)</f>
        <v>0.55000000000000004</v>
      </c>
      <c r="J140" s="8"/>
    </row>
    <row r="141" spans="1:10" x14ac:dyDescent="0.25">
      <c r="A141" s="2">
        <v>140</v>
      </c>
      <c r="B141" s="2" t="s">
        <v>297</v>
      </c>
      <c r="C141" s="2" t="s">
        <v>298</v>
      </c>
      <c r="D141" s="2">
        <f>VLOOKUP(C141,'[1]World Population (2022) '!$B$2:$C$236,2,FALSE)</f>
        <v>-4998</v>
      </c>
      <c r="E141" s="2">
        <f>VLOOKUP(D141,'[1]World Population (2022) '!$C$2:$D$236,2,FALSE)</f>
        <v>1.8</v>
      </c>
      <c r="F141" s="2">
        <f>VLOOKUP(C141,'[1]World Population (2022) '!$B$2:$F$236,4,FALSE)</f>
        <v>35</v>
      </c>
      <c r="G141" s="4">
        <f>VLOOKUP(C141,'[1]World Population (2022) '!$B$2:$F$236,5,FALSE)</f>
        <v>0.63</v>
      </c>
      <c r="J141" s="8"/>
    </row>
    <row r="142" spans="1:10" x14ac:dyDescent="0.25">
      <c r="A142" s="2">
        <v>141</v>
      </c>
      <c r="B142" s="2" t="s">
        <v>299</v>
      </c>
      <c r="C142" s="2" t="s">
        <v>300</v>
      </c>
      <c r="D142" s="2">
        <f>VLOOKUP(C142,'[1]World Population (2022) '!$B$2:$C$236,2,FALSE)</f>
        <v>-32780</v>
      </c>
      <c r="E142" s="2">
        <f>VLOOKUP(D142,'[1]World Population (2022) '!$C$2:$D$236,2,FALSE)</f>
        <v>1.7</v>
      </c>
      <c r="F142" s="2">
        <f>VLOOKUP(C142,'[1]World Population (2022) '!$B$2:$F$236,4,FALSE)</f>
        <v>45</v>
      </c>
      <c r="G142" s="4">
        <f>VLOOKUP(C142,'[1]World Population (2022) '!$B$2:$F$236,5,FALSE)</f>
        <v>0.71</v>
      </c>
      <c r="J142" s="8"/>
    </row>
    <row r="143" spans="1:10" x14ac:dyDescent="0.25">
      <c r="A143" s="2">
        <v>142</v>
      </c>
      <c r="B143" s="2" t="s">
        <v>301</v>
      </c>
      <c r="C143" s="2" t="s">
        <v>302</v>
      </c>
      <c r="D143" s="2">
        <f>VLOOKUP(C143,'[1]World Population (2022) '!$B$2:$C$236,2,FALSE)</f>
        <v>-3087</v>
      </c>
      <c r="E143" s="2">
        <f>VLOOKUP(D143,'[1]World Population (2022) '!$C$2:$D$236,2,FALSE)</f>
        <v>5.3</v>
      </c>
      <c r="F143" s="2">
        <f>VLOOKUP(C143,'[1]World Population (2022) '!$B$2:$F$236,4,FALSE)</f>
        <v>18</v>
      </c>
      <c r="G143" s="4">
        <f>VLOOKUP(C143,'[1]World Population (2022) '!$B$2:$F$236,5,FALSE)</f>
        <v>0.59</v>
      </c>
      <c r="J143" s="8"/>
    </row>
    <row r="144" spans="1:10" x14ac:dyDescent="0.25">
      <c r="A144" s="2">
        <v>143</v>
      </c>
      <c r="B144" s="2" t="s">
        <v>303</v>
      </c>
      <c r="C144" s="2" t="s">
        <v>304</v>
      </c>
      <c r="D144" s="2">
        <f>VLOOKUP(C144,'[1]World Population (2022) '!$B$2:$C$236,2,FALSE)</f>
        <v>40000</v>
      </c>
      <c r="E144" s="2">
        <f>VLOOKUP(D144,'[1]World Population (2022) '!$C$2:$D$236,2,FALSE)</f>
        <v>1.3</v>
      </c>
      <c r="F144" s="2">
        <f>VLOOKUP(C144,'[1]World Population (2022) '!$B$2:$F$236,4,FALSE)</f>
        <v>32</v>
      </c>
      <c r="G144" s="4">
        <f>VLOOKUP(C144,'[1]World Population (2022) '!$B$2:$F$236,5,FALSE)</f>
        <v>0.96</v>
      </c>
      <c r="J144" s="8"/>
    </row>
    <row r="145" spans="1:10" x14ac:dyDescent="0.25">
      <c r="A145" s="2">
        <v>144</v>
      </c>
      <c r="B145" s="2" t="s">
        <v>305</v>
      </c>
      <c r="C145" s="2" t="s">
        <v>306</v>
      </c>
      <c r="D145" s="2">
        <f>VLOOKUP(C145,'[1]World Population (2022) '!$B$2:$C$236,2,FALSE)</f>
        <v>3000</v>
      </c>
      <c r="E145" s="2">
        <f>VLOOKUP(D145,'[1]World Population (2022) '!$C$2:$D$236,2,FALSE)</f>
        <v>2.9</v>
      </c>
      <c r="F145" s="2">
        <f>VLOOKUP(C145,'[1]World Population (2022) '!$B$2:$F$236,4,FALSE)</f>
        <v>24</v>
      </c>
      <c r="G145" s="4">
        <f>VLOOKUP(C145,'[1]World Population (2022) '!$B$2:$F$236,5,FALSE)</f>
        <v>0.73</v>
      </c>
      <c r="J145" s="8"/>
    </row>
    <row r="146" spans="1:10" x14ac:dyDescent="0.25">
      <c r="A146" s="2">
        <v>145</v>
      </c>
      <c r="B146" s="2" t="s">
        <v>307</v>
      </c>
      <c r="C146" s="2" t="s">
        <v>308</v>
      </c>
      <c r="D146" s="2">
        <f>VLOOKUP(C146,'[1]World Population (2022) '!$B$2:$C$236,2,FALSE)</f>
        <v>-4806</v>
      </c>
      <c r="E146" s="2">
        <f>VLOOKUP(D146,'[1]World Population (2022) '!$C$2:$D$236,2,FALSE)</f>
        <v>3.4</v>
      </c>
      <c r="F146" s="2">
        <f>VLOOKUP(C146,'[1]World Population (2022) '!$B$2:$F$236,4,FALSE)</f>
        <v>22</v>
      </c>
      <c r="G146" s="4">
        <f>VLOOKUP(C146,'[1]World Population (2022) '!$B$2:$F$236,5,FALSE)</f>
        <v>0.55000000000000004</v>
      </c>
      <c r="J146" s="8"/>
    </row>
    <row r="147" spans="1:10" x14ac:dyDescent="0.25">
      <c r="A147" s="2">
        <v>146</v>
      </c>
      <c r="B147" s="2" t="s">
        <v>309</v>
      </c>
      <c r="C147" s="2" t="s">
        <v>310</v>
      </c>
      <c r="D147" s="2">
        <f>VLOOKUP(C147,'[1]World Population (2022) '!$B$2:$C$236,2,FALSE)</f>
        <v>3260</v>
      </c>
      <c r="E147" s="2">
        <f>VLOOKUP(D147,'[1]World Population (2022) '!$C$2:$D$236,2,FALSE)</f>
        <v>4</v>
      </c>
      <c r="F147" s="2">
        <f>VLOOKUP(C147,'[1]World Population (2022) '!$B$2:$F$236,4,FALSE)</f>
        <v>23</v>
      </c>
      <c r="G147" s="4">
        <f>VLOOKUP(C147,'[1]World Population (2022) '!$B$2:$F$236,5,FALSE)</f>
        <v>0.87</v>
      </c>
      <c r="J147" s="8"/>
    </row>
    <row r="148" spans="1:10" x14ac:dyDescent="0.25">
      <c r="A148" s="2">
        <v>147</v>
      </c>
      <c r="B148" s="2" t="s">
        <v>311</v>
      </c>
      <c r="C148" s="2" t="s">
        <v>312</v>
      </c>
      <c r="D148" s="2">
        <f>VLOOKUP(C148,'[1]World Population (2022) '!$B$2:$C$236,2,FALSE)</f>
        <v>-10047</v>
      </c>
      <c r="E148" s="2">
        <f>VLOOKUP(D148,'[1]World Population (2022) '!$C$2:$D$236,2,FALSE)</f>
        <v>3.2</v>
      </c>
      <c r="F148" s="2">
        <f>VLOOKUP(C148,'[1]World Population (2022) '!$B$2:$F$236,4,FALSE)</f>
        <v>24</v>
      </c>
      <c r="G148" s="4">
        <f>VLOOKUP(C148,'[1]World Population (2022) '!$B$2:$F$236,5,FALSE)</f>
        <v>0.31</v>
      </c>
      <c r="J148" s="8"/>
    </row>
    <row r="149" spans="1:10" x14ac:dyDescent="0.25">
      <c r="A149" s="2">
        <v>148</v>
      </c>
      <c r="B149" s="2" t="s">
        <v>313</v>
      </c>
      <c r="C149" s="2" t="s">
        <v>314</v>
      </c>
      <c r="D149" s="2">
        <f>VLOOKUP(C149,'[1]World Population (2022) '!$B$2:$C$236,2,FALSE)</f>
        <v>2000</v>
      </c>
      <c r="E149" s="2">
        <f>VLOOKUP(D149,'[1]World Population (2022) '!$C$2:$D$236,2,FALSE)</f>
        <v>5.8</v>
      </c>
      <c r="F149" s="2">
        <f>VLOOKUP(C149,'[1]World Population (2022) '!$B$2:$F$236,4,FALSE)</f>
        <v>45</v>
      </c>
      <c r="G149" s="4">
        <f>VLOOKUP(C149,'[1]World Population (2022) '!$B$2:$F$236,5,FALSE)</f>
        <v>0.55000000000000004</v>
      </c>
      <c r="J149" s="8"/>
    </row>
    <row r="150" spans="1:10" x14ac:dyDescent="0.25">
      <c r="A150" s="2">
        <v>149</v>
      </c>
      <c r="B150" s="2" t="s">
        <v>315</v>
      </c>
      <c r="C150" s="2" t="s">
        <v>316</v>
      </c>
      <c r="D150" s="2">
        <f>VLOOKUP(C150,'[1]World Population (2022) '!$B$2:$C$236,2,FALSE)</f>
        <v>-1399</v>
      </c>
      <c r="E150" s="2">
        <f>VLOOKUP(D150,'[1]World Population (2022) '!$C$2:$D$236,2,FALSE)</f>
        <v>4.5</v>
      </c>
      <c r="F150" s="2">
        <f>VLOOKUP(C150,'[1]World Population (2022) '!$B$2:$F$236,4,FALSE)</f>
        <v>19</v>
      </c>
      <c r="G150" s="4">
        <f>VLOOKUP(C150,'[1]World Population (2022) '!$B$2:$F$236,5,FALSE)</f>
        <v>0.45</v>
      </c>
      <c r="J150" s="8"/>
    </row>
    <row r="151" spans="1:10" x14ac:dyDescent="0.25">
      <c r="A151" s="2">
        <v>150</v>
      </c>
      <c r="B151" s="2" t="s">
        <v>317</v>
      </c>
      <c r="C151" s="2" t="s">
        <v>318</v>
      </c>
      <c r="D151" s="2">
        <f>VLOOKUP(C151,'[1]World Population (2022) '!$B$2:$C$236,2,FALSE)</f>
        <v>-1000</v>
      </c>
      <c r="E151" s="2">
        <f>VLOOKUP(D151,'[1]World Population (2022) '!$C$2:$D$236,2,FALSE)</f>
        <v>1.5</v>
      </c>
      <c r="F151" s="2">
        <f>VLOOKUP(C151,'[1]World Population (2022) '!$B$2:$F$236,4,FALSE)</f>
        <v>39</v>
      </c>
      <c r="G151" s="4">
        <f>VLOOKUP(C151,'[1]World Population (2022) '!$B$2:$F$236,5,FALSE)</f>
        <v>0.59</v>
      </c>
      <c r="J151" s="8"/>
    </row>
    <row r="152" spans="1:10" x14ac:dyDescent="0.25">
      <c r="A152" s="2">
        <v>151</v>
      </c>
      <c r="B152" s="2" t="s">
        <v>319</v>
      </c>
      <c r="C152" s="2" t="s">
        <v>320</v>
      </c>
      <c r="D152" s="2">
        <f>VLOOKUP(C152,'[1]World Population (2022) '!$B$2:$C$236,2,FALSE)</f>
        <v>-14837</v>
      </c>
      <c r="E152" s="2">
        <f>VLOOKUP(D152,'[1]World Population (2022) '!$C$2:$D$236,2,FALSE)</f>
        <v>1.7</v>
      </c>
      <c r="F152" s="2">
        <f>VLOOKUP(C152,'[1]World Population (2022) '!$B$2:$F$236,4,FALSE)</f>
        <v>44</v>
      </c>
      <c r="G152" s="4">
        <f>VLOOKUP(C152,'[1]World Population (2022) '!$B$2:$F$236,5,FALSE)</f>
        <v>0.69</v>
      </c>
      <c r="J152" s="8"/>
    </row>
    <row r="153" spans="1:10" x14ac:dyDescent="0.25">
      <c r="A153" s="2">
        <v>152</v>
      </c>
      <c r="B153" s="2" t="s">
        <v>321</v>
      </c>
      <c r="C153" s="2" t="s">
        <v>322</v>
      </c>
      <c r="D153" s="2">
        <f>VLOOKUP(C153,'[1]World Population (2022) '!$B$2:$C$236,2,FALSE)</f>
        <v>16000</v>
      </c>
      <c r="E153" s="2">
        <f>VLOOKUP(D153,'[1]World Population (2022) '!$C$2:$D$236,2,FALSE)</f>
        <v>1.7</v>
      </c>
      <c r="F153" s="2">
        <f>VLOOKUP(C153,'[1]World Population (2022) '!$B$2:$F$236,4,FALSE)</f>
        <v>22</v>
      </c>
      <c r="G153" s="4">
        <f>VLOOKUP(C153,'[1]World Population (2022) '!$B$2:$F$236,5,FALSE)</f>
        <v>0.73</v>
      </c>
      <c r="J153" s="8"/>
    </row>
    <row r="154" spans="1:10" x14ac:dyDescent="0.25">
      <c r="A154" s="2">
        <v>153</v>
      </c>
      <c r="B154" s="2" t="s">
        <v>323</v>
      </c>
      <c r="C154" s="2" t="s">
        <v>324</v>
      </c>
      <c r="D154" s="2">
        <f>VLOOKUP(C154,'[1]World Population (2022) '!$B$2:$C$236,2,FALSE)</f>
        <v>-800</v>
      </c>
      <c r="E154" s="2">
        <f>VLOOKUP(D154,'[1]World Population (2022) '!$C$2:$D$236,2,FALSE)</f>
        <v>3.6</v>
      </c>
      <c r="F154" s="2">
        <f>VLOOKUP(C154,'[1]World Population (2022) '!$B$2:$F$236,4,FALSE)</f>
        <v>36</v>
      </c>
      <c r="G154" s="4">
        <f>VLOOKUP(C154,'[1]World Population (2022) '!$B$2:$F$236,5,FALSE)</f>
        <v>0.52</v>
      </c>
      <c r="J154" s="8"/>
    </row>
    <row r="155" spans="1:10" x14ac:dyDescent="0.25">
      <c r="A155" s="2">
        <v>154</v>
      </c>
      <c r="B155" s="2" t="s">
        <v>325</v>
      </c>
      <c r="C155" s="2" t="s">
        <v>326</v>
      </c>
      <c r="D155" s="2">
        <f>VLOOKUP(C155,'[1]World Population (2022) '!$B$2:$C$236,2,FALSE)</f>
        <v>47800</v>
      </c>
      <c r="E155" s="2">
        <f>VLOOKUP(D155,'[1]World Population (2022) '!$C$2:$D$236,2,FALSE)</f>
        <v>2</v>
      </c>
      <c r="F155" s="2">
        <f>VLOOKUP(C155,'[1]World Population (2022) '!$B$2:$F$236,4,FALSE)</f>
        <v>32</v>
      </c>
      <c r="G155" s="4">
        <f>VLOOKUP(C155,'[1]World Population (2022) '!$B$2:$F$236,5,FALSE)</f>
        <v>0.89</v>
      </c>
      <c r="J155" s="8"/>
    </row>
    <row r="156" spans="1:10" x14ac:dyDescent="0.25">
      <c r="A156" s="2">
        <v>155</v>
      </c>
      <c r="B156" s="2" t="s">
        <v>327</v>
      </c>
      <c r="C156" s="2" t="s">
        <v>328</v>
      </c>
      <c r="D156" s="2">
        <f>VLOOKUP(C156,'[1]World Population (2022) '!$B$2:$C$236,2,FALSE)</f>
        <v>-5385</v>
      </c>
      <c r="E156" s="2">
        <f>VLOOKUP(D156,'[1]World Population (2022) '!$C$2:$D$236,2,FALSE)</f>
        <v>4.0999999999999996</v>
      </c>
      <c r="F156" s="2">
        <f>VLOOKUP(C156,'[1]World Population (2022) '!$B$2:$F$236,4,FALSE)</f>
        <v>21</v>
      </c>
      <c r="G156" s="4">
        <f>VLOOKUP(C156,'[1]World Population (2022) '!$B$2:$F$236,5,FALSE)</f>
        <v>0.33</v>
      </c>
      <c r="J156" s="8"/>
    </row>
    <row r="157" spans="1:10" x14ac:dyDescent="0.25">
      <c r="A157" s="2">
        <v>156</v>
      </c>
      <c r="B157" s="2" t="s">
        <v>329</v>
      </c>
      <c r="C157" s="2" t="s">
        <v>330</v>
      </c>
      <c r="D157" s="2">
        <f>VLOOKUP(C157,'[1]World Population (2022) '!$B$2:$C$236,2,FALSE)</f>
        <v>3911</v>
      </c>
      <c r="E157" s="2">
        <f>VLOOKUP(D157,'[1]World Population (2022) '!$C$2:$D$236,2,FALSE)</f>
        <v>1.6</v>
      </c>
      <c r="F157" s="2">
        <f>VLOOKUP(C157,'[1]World Population (2022) '!$B$2:$F$236,4,FALSE)</f>
        <v>42</v>
      </c>
      <c r="G157" s="4">
        <f>VLOOKUP(C157,'[1]World Population (2022) '!$B$2:$F$236,5,FALSE)</f>
        <v>0.68</v>
      </c>
      <c r="J157" s="8"/>
    </row>
    <row r="158" spans="1:10" x14ac:dyDescent="0.25">
      <c r="A158" s="2">
        <v>157</v>
      </c>
      <c r="B158" s="2" t="s">
        <v>331</v>
      </c>
      <c r="C158" s="2" t="s">
        <v>332</v>
      </c>
      <c r="D158" s="2">
        <f>VLOOKUP(C158,'[1]World Population (2022) '!$B$2:$C$236,2,FALSE)</f>
        <v>0</v>
      </c>
      <c r="E158" s="2">
        <f>VLOOKUP(D158,'[1]World Population (2022) '!$C$2:$D$236,2,FALSE)</f>
        <v>1.4</v>
      </c>
      <c r="F158" s="2">
        <f>VLOOKUP(C158,'[1]World Population (2022) '!$B$2:$F$236,4,FALSE)</f>
        <v>37</v>
      </c>
      <c r="G158" s="4">
        <f>VLOOKUP(C158,'[1]World Population (2022) '!$B$2:$F$236,5,FALSE)</f>
        <v>0.41</v>
      </c>
      <c r="J158" s="8"/>
    </row>
    <row r="159" spans="1:10" x14ac:dyDescent="0.25">
      <c r="A159" s="2">
        <v>158</v>
      </c>
      <c r="B159" s="2" t="s">
        <v>333</v>
      </c>
      <c r="C159" s="2" t="s">
        <v>334</v>
      </c>
      <c r="D159" s="2">
        <f>VLOOKUP(C159,'[1]World Population (2022) '!$B$2:$C$236,2,FALSE)</f>
        <v>5000</v>
      </c>
      <c r="E159" s="2">
        <f>VLOOKUP(D159,'[1]World Population (2022) '!$C$2:$D$236,2,FALSE)</f>
        <v>4.5999999999999996</v>
      </c>
      <c r="F159" s="2">
        <f>VLOOKUP(C159,'[1]World Population (2022) '!$B$2:$F$236,4,FALSE)</f>
        <v>37</v>
      </c>
      <c r="G159" s="4">
        <f>VLOOKUP(C159,'[1]World Population (2022) '!$B$2:$F$236,5,FALSE)</f>
        <v>0.67</v>
      </c>
      <c r="J159" s="8"/>
    </row>
    <row r="160" spans="1:10" x14ac:dyDescent="0.25">
      <c r="A160" s="2">
        <v>159</v>
      </c>
      <c r="B160" s="2" t="s">
        <v>335</v>
      </c>
      <c r="C160" s="2" t="s">
        <v>336</v>
      </c>
      <c r="D160" s="2">
        <f>VLOOKUP(C160,'[1]World Population (2022) '!$B$2:$C$236,2,FALSE)</f>
        <v>-8353</v>
      </c>
      <c r="E160" s="2">
        <f>VLOOKUP(D160,'[1]World Population (2022) '!$C$2:$D$236,2,FALSE)</f>
        <v>3</v>
      </c>
      <c r="F160" s="2">
        <f>VLOOKUP(C160,'[1]World Population (2022) '!$B$2:$F$236,4,FALSE)</f>
        <v>21</v>
      </c>
      <c r="G160" s="4">
        <f>VLOOKUP(C160,'[1]World Population (2022) '!$B$2:$F$236,5,FALSE)</f>
        <v>0.3</v>
      </c>
      <c r="J160" s="8"/>
    </row>
    <row r="161" spans="1:10" x14ac:dyDescent="0.25">
      <c r="A161" s="2">
        <v>160</v>
      </c>
      <c r="B161" s="2" t="s">
        <v>337</v>
      </c>
      <c r="C161" s="2" t="s">
        <v>338</v>
      </c>
      <c r="D161" s="2">
        <f>VLOOKUP(C161,'[1]World Population (2022) '!$B$2:$C$236,2,FALSE)</f>
        <v>900</v>
      </c>
      <c r="E161" s="2">
        <f>VLOOKUP(D161,'[1]World Population (2022) '!$C$2:$D$236,2,FALSE)</f>
        <v>2.8</v>
      </c>
      <c r="F161" s="2">
        <f>VLOOKUP(C161,'[1]World Population (2022) '!$B$2:$F$236,4,FALSE)</f>
        <v>27</v>
      </c>
      <c r="G161" s="4">
        <f>VLOOKUP(C161,'[1]World Population (2022) '!$B$2:$F$236,5,FALSE)</f>
        <v>0.79</v>
      </c>
      <c r="J161" s="8"/>
    </row>
    <row r="162" spans="1:10" x14ac:dyDescent="0.25">
      <c r="A162" s="2">
        <v>161</v>
      </c>
      <c r="B162" s="2" t="s">
        <v>339</v>
      </c>
      <c r="C162" s="2" t="s">
        <v>340</v>
      </c>
      <c r="D162" s="2" t="e">
        <f>VLOOKUP(C162,'[1]World Population (2022) '!$B$2:$C$236,2,FALSE)</f>
        <v>#N/A</v>
      </c>
      <c r="E162" s="2" t="e">
        <f>VLOOKUP(D162,'[1]World Population (2022) '!$C$2:$D$236,2,FALSE)</f>
        <v>#N/A</v>
      </c>
      <c r="F162" s="2" t="e">
        <f>VLOOKUP(C162,'[1]World Population (2022) '!$B$2:$F$236,4,FALSE)</f>
        <v>#N/A</v>
      </c>
      <c r="G162" s="4" t="e">
        <f>VLOOKUP(C162,'[1]World Population (2022) '!$B$2:$F$236,5,FALSE)</f>
        <v>#N/A</v>
      </c>
      <c r="J162" s="8"/>
    </row>
    <row r="163" spans="1:10" x14ac:dyDescent="0.25">
      <c r="A163" s="2">
        <v>162</v>
      </c>
      <c r="B163" s="2" t="s">
        <v>341</v>
      </c>
      <c r="C163" s="2" t="s">
        <v>342</v>
      </c>
      <c r="D163" s="2">
        <f>VLOOKUP(C163,'[1]World Population (2022) '!$B$2:$C$236,2,FALSE)</f>
        <v>-6202</v>
      </c>
      <c r="E163" s="2">
        <f>VLOOKUP(D163,'[1]World Population (2022) '!$C$2:$D$236,2,FALSE)</f>
        <v>2.8</v>
      </c>
      <c r="F163" s="2">
        <f>VLOOKUP(C163,'[1]World Population (2022) '!$B$2:$F$236,4,FALSE)</f>
        <v>28</v>
      </c>
      <c r="G163" s="4">
        <f>VLOOKUP(C163,'[1]World Population (2022) '!$B$2:$F$236,5,FALSE)</f>
        <v>0.59</v>
      </c>
      <c r="J163" s="8"/>
    </row>
    <row r="164" spans="1:10" x14ac:dyDescent="0.25">
      <c r="A164" s="2">
        <v>163</v>
      </c>
      <c r="B164" s="2" t="s">
        <v>343</v>
      </c>
      <c r="C164" s="2" t="s">
        <v>344</v>
      </c>
      <c r="D164" s="2">
        <f>VLOOKUP(C164,'[1]World Population (2022) '!$B$2:$C$236,2,FALSE)</f>
        <v>-2000</v>
      </c>
      <c r="E164" s="2">
        <f>VLOOKUP(D164,'[1]World Population (2022) '!$C$2:$D$236,2,FALSE)</f>
        <v>4.9000000000000004</v>
      </c>
      <c r="F164" s="2">
        <f>VLOOKUP(C164,'[1]World Population (2022) '!$B$2:$F$236,4,FALSE)</f>
        <v>20</v>
      </c>
      <c r="G164" s="4">
        <f>VLOOKUP(C164,'[1]World Population (2022) '!$B$2:$F$236,5,FALSE)</f>
        <v>0.28999999999999998</v>
      </c>
      <c r="J164" s="8"/>
    </row>
    <row r="165" spans="1:10" x14ac:dyDescent="0.25">
      <c r="A165" s="2">
        <v>164</v>
      </c>
      <c r="B165" s="2" t="s">
        <v>345</v>
      </c>
      <c r="C165" s="2" t="s">
        <v>346</v>
      </c>
      <c r="D165" s="2">
        <f>VLOOKUP(C165,'[1]World Population (2022) '!$B$2:$C$236,2,FALSE)</f>
        <v>-6000</v>
      </c>
      <c r="E165" s="2">
        <f>VLOOKUP(D165,'[1]World Population (2022) '!$C$2:$D$236,2,FALSE)</f>
        <v>1.3</v>
      </c>
      <c r="F165" s="2">
        <f>VLOOKUP(C165,'[1]World Population (2022) '!$B$2:$F$236,4,FALSE)</f>
        <v>27</v>
      </c>
      <c r="G165" s="4">
        <f>VLOOKUP(C165,'[1]World Population (2022) '!$B$2:$F$236,5,FALSE)</f>
        <v>0.27</v>
      </c>
      <c r="J165" s="8"/>
    </row>
    <row r="166" spans="1:10" x14ac:dyDescent="0.25">
      <c r="A166" s="2">
        <v>165</v>
      </c>
      <c r="B166" s="2" t="s">
        <v>347</v>
      </c>
      <c r="C166" s="2" t="s">
        <v>348</v>
      </c>
      <c r="D166" s="2">
        <f>VLOOKUP(C166,'[1]World Population (2022) '!$B$2:$C$236,2,FALSE)</f>
        <v>320</v>
      </c>
      <c r="E166" s="2">
        <f>VLOOKUP(D166,'[1]World Population (2022) '!$C$2:$D$236,2,FALSE)</f>
        <v>2</v>
      </c>
      <c r="F166" s="2">
        <f>VLOOKUP(C166,'[1]World Population (2022) '!$B$2:$F$236,4,FALSE)</f>
        <v>28</v>
      </c>
      <c r="G166" s="4">
        <f>VLOOKUP(C166,'[1]World Population (2022) '!$B$2:$F$236,5,FALSE)</f>
        <v>0.46</v>
      </c>
      <c r="J166" s="8"/>
    </row>
    <row r="167" spans="1:10" x14ac:dyDescent="0.25">
      <c r="A167" s="2">
        <v>166</v>
      </c>
      <c r="B167" s="2" t="s">
        <v>349</v>
      </c>
      <c r="C167" s="2" t="s">
        <v>350</v>
      </c>
      <c r="D167" s="2">
        <f>VLOOKUP(C167,'[1]World Population (2022) '!$B$2:$C$236,2,FALSE)</f>
        <v>-1600</v>
      </c>
      <c r="E167" s="2">
        <f>VLOOKUP(D167,'[1]World Population (2022) '!$C$2:$D$236,2,FALSE)</f>
        <v>4.4000000000000004</v>
      </c>
      <c r="F167" s="2">
        <f>VLOOKUP(C167,'[1]World Population (2022) '!$B$2:$F$236,4,FALSE)</f>
        <v>20</v>
      </c>
      <c r="G167" s="4">
        <f>VLOOKUP(C167,'[1]World Population (2022) '!$B$2:$F$236,5,FALSE)</f>
        <v>0.23</v>
      </c>
      <c r="J167" s="8"/>
    </row>
    <row r="168" spans="1:10" x14ac:dyDescent="0.25">
      <c r="A168" s="2">
        <v>167</v>
      </c>
      <c r="B168" s="2" t="s">
        <v>351</v>
      </c>
      <c r="C168" s="2" t="s">
        <v>352</v>
      </c>
      <c r="D168" s="2" t="e">
        <f>VLOOKUP(C168,'[1]World Population (2022) '!$B$2:$C$236,2,FALSE)</f>
        <v>#N/A</v>
      </c>
      <c r="E168" s="2" t="e">
        <f>VLOOKUP(D168,'[1]World Population (2022) '!$C$2:$D$236,2,FALSE)</f>
        <v>#N/A</v>
      </c>
      <c r="F168" s="2" t="e">
        <f>VLOOKUP(C168,'[1]World Population (2022) '!$B$2:$F$236,4,FALSE)</f>
        <v>#N/A</v>
      </c>
      <c r="G168" s="4" t="e">
        <f>VLOOKUP(C168,'[1]World Population (2022) '!$B$2:$F$236,5,FALSE)</f>
        <v>#N/A</v>
      </c>
      <c r="J168" s="8"/>
    </row>
    <row r="169" spans="1:10" x14ac:dyDescent="0.25">
      <c r="A169" s="2">
        <v>168</v>
      </c>
      <c r="B169" s="2" t="s">
        <v>353</v>
      </c>
      <c r="C169" s="2" t="s">
        <v>354</v>
      </c>
      <c r="D169" s="2">
        <f>VLOOKUP(C169,'[1]World Population (2022) '!$B$2:$C$236,2,FALSE)</f>
        <v>9741</v>
      </c>
      <c r="E169" s="2">
        <f>VLOOKUP(D169,'[1]World Population (2022) '!$C$2:$D$236,2,FALSE)</f>
        <v>1.5</v>
      </c>
      <c r="F169" s="2">
        <f>VLOOKUP(C169,'[1]World Population (2022) '!$B$2:$F$236,4,FALSE)</f>
        <v>40</v>
      </c>
      <c r="G169" s="4">
        <f>VLOOKUP(C169,'[1]World Population (2022) '!$B$2:$F$236,5,FALSE)</f>
        <v>0.88</v>
      </c>
      <c r="J169" s="8"/>
    </row>
    <row r="170" spans="1:10" x14ac:dyDescent="0.25">
      <c r="A170" s="2">
        <v>169</v>
      </c>
      <c r="B170" s="2" t="s">
        <v>355</v>
      </c>
      <c r="C170" s="2" t="s">
        <v>356</v>
      </c>
      <c r="D170" s="2">
        <f>VLOOKUP(C170,'[1]World Population (2022) '!$B$2:$C$236,2,FALSE)</f>
        <v>-480</v>
      </c>
      <c r="E170" s="2">
        <f>VLOOKUP(D170,'[1]World Population (2022) '!$C$2:$D$236,2,FALSE)</f>
        <v>1.8</v>
      </c>
      <c r="F170" s="2">
        <f>VLOOKUP(C170,'[1]World Population (2022) '!$B$2:$F$236,4,FALSE)</f>
        <v>39</v>
      </c>
      <c r="G170" s="4">
        <f>VLOOKUP(C170,'[1]World Population (2022) '!$B$2:$F$236,5,FALSE)</f>
        <v>0.68</v>
      </c>
      <c r="J170" s="8"/>
    </row>
    <row r="171" spans="1:10" x14ac:dyDescent="0.25">
      <c r="A171" s="2">
        <v>170</v>
      </c>
      <c r="B171" s="2" t="s">
        <v>357</v>
      </c>
      <c r="C171" s="2" t="s">
        <v>358</v>
      </c>
      <c r="D171" s="2">
        <f>VLOOKUP(C171,'[1]World Population (2022) '!$B$2:$C$236,2,FALSE)</f>
        <v>-1000</v>
      </c>
      <c r="E171" s="2">
        <f>VLOOKUP(D171,'[1]World Population (2022) '!$C$2:$D$236,2,FALSE)</f>
        <v>1.5</v>
      </c>
      <c r="F171" s="2">
        <f>VLOOKUP(C171,'[1]World Population (2022) '!$B$2:$F$236,4,FALSE)</f>
        <v>29</v>
      </c>
      <c r="G171" s="4">
        <f>VLOOKUP(C171,'[1]World Population (2022) '!$B$2:$F$236,5,FALSE)</f>
        <v>0.65</v>
      </c>
      <c r="J171" s="8"/>
    </row>
    <row r="172" spans="1:10" x14ac:dyDescent="0.25">
      <c r="A172" s="2">
        <v>171</v>
      </c>
      <c r="B172" s="2" t="s">
        <v>359</v>
      </c>
      <c r="C172" s="2" t="s">
        <v>360</v>
      </c>
      <c r="D172" s="2" t="e">
        <f>VLOOKUP(C172,'[1]World Population (2022) '!$B$2:$C$236,2,FALSE)</f>
        <v>#N/A</v>
      </c>
      <c r="E172" s="2" t="e">
        <f>VLOOKUP(D172,'[1]World Population (2022) '!$C$2:$D$236,2,FALSE)</f>
        <v>#N/A</v>
      </c>
      <c r="F172" s="2" t="e">
        <f>VLOOKUP(C172,'[1]World Population (2022) '!$B$2:$F$236,4,FALSE)</f>
        <v>#N/A</v>
      </c>
      <c r="G172" s="4" t="e">
        <f>VLOOKUP(C172,'[1]World Population (2022) '!$B$2:$F$236,5,FALSE)</f>
        <v>#N/A</v>
      </c>
      <c r="J172" s="8"/>
    </row>
    <row r="173" spans="1:10" x14ac:dyDescent="0.25">
      <c r="A173" s="2">
        <v>172</v>
      </c>
      <c r="B173" s="2" t="s">
        <v>361</v>
      </c>
      <c r="C173" s="2" t="s">
        <v>362</v>
      </c>
      <c r="D173" s="2">
        <f>VLOOKUP(C173,'[1]World Population (2022) '!$B$2:$C$236,2,FALSE)</f>
        <v>5582</v>
      </c>
      <c r="E173" s="2">
        <f>VLOOKUP(D173,'[1]World Population (2022) '!$C$2:$D$236,2,FALSE)</f>
        <v>2.4</v>
      </c>
      <c r="F173" s="2">
        <f>VLOOKUP(C173,'[1]World Population (2022) '!$B$2:$F$236,4,FALSE)</f>
        <v>28</v>
      </c>
      <c r="G173" s="4">
        <f>VLOOKUP(C173,'[1]World Population (2022) '!$B$2:$F$236,5,FALSE)</f>
        <v>0.87</v>
      </c>
      <c r="J173" s="8"/>
    </row>
    <row r="174" spans="1:10" x14ac:dyDescent="0.25">
      <c r="A174" s="2">
        <v>173</v>
      </c>
      <c r="B174" s="2" t="s">
        <v>363</v>
      </c>
      <c r="C174" s="2" t="s">
        <v>364</v>
      </c>
      <c r="D174" s="2">
        <f>VLOOKUP(C174,'[1]World Population (2022) '!$B$2:$C$236,2,FALSE)</f>
        <v>900</v>
      </c>
      <c r="E174" s="2">
        <f>VLOOKUP(D174,'[1]World Population (2022) '!$C$2:$D$236,2,FALSE)</f>
        <v>2.8</v>
      </c>
      <c r="F174" s="2">
        <f>VLOOKUP(C174,'[1]World Population (2022) '!$B$2:$F$236,4,FALSE)</f>
        <v>43</v>
      </c>
      <c r="G174" s="4">
        <f>VLOOKUP(C174,'[1]World Population (2022) '!$B$2:$F$236,5,FALSE)</f>
        <v>0.93</v>
      </c>
      <c r="J174" s="8"/>
    </row>
    <row r="175" spans="1:10" x14ac:dyDescent="0.25">
      <c r="A175" s="2">
        <v>174</v>
      </c>
      <c r="B175" s="2" t="s">
        <v>365</v>
      </c>
      <c r="C175" s="2" t="s">
        <v>366</v>
      </c>
      <c r="D175" s="2">
        <f>VLOOKUP(C175,'[1]World Population (2022) '!$B$2:$C$236,2,FALSE)</f>
        <v>11370</v>
      </c>
      <c r="E175" s="2">
        <f>VLOOKUP(D175,'[1]World Population (2022) '!$C$2:$D$236,2,FALSE)</f>
        <v>1.9</v>
      </c>
      <c r="F175" s="2">
        <f>VLOOKUP(C175,'[1]World Population (2022) '!$B$2:$F$236,4,FALSE)</f>
        <v>30</v>
      </c>
      <c r="G175" s="4">
        <f>VLOOKUP(C175,'[1]World Population (2022) '!$B$2:$F$236,5,FALSE)</f>
        <v>0.35</v>
      </c>
      <c r="J175" s="8"/>
    </row>
    <row r="176" spans="1:10" x14ac:dyDescent="0.25">
      <c r="A176" s="2">
        <v>175</v>
      </c>
      <c r="B176" s="2" t="s">
        <v>367</v>
      </c>
      <c r="C176" s="2" t="s">
        <v>368</v>
      </c>
      <c r="D176" s="2">
        <f>VLOOKUP(C176,'[1]World Population (2022) '!$B$2:$C$236,2,FALSE)</f>
        <v>0</v>
      </c>
      <c r="E176" s="2">
        <f>VLOOKUP(D176,'[1]World Population (2022) '!$C$2:$D$236,2,FALSE)</f>
        <v>1.4</v>
      </c>
      <c r="F176" s="2">
        <f>VLOOKUP(C176,'[1]World Population (2022) '!$B$2:$F$236,4,FALSE)</f>
        <v>32</v>
      </c>
      <c r="G176" s="4">
        <f>VLOOKUP(C176,'[1]World Population (2022) '!$B$2:$F$236,5,FALSE)</f>
        <v>0.8</v>
      </c>
      <c r="J176" s="8"/>
    </row>
    <row r="177" spans="1:10" x14ac:dyDescent="0.25">
      <c r="A177" s="2">
        <v>176</v>
      </c>
      <c r="B177" s="2" t="s">
        <v>369</v>
      </c>
      <c r="C177" s="2" t="s">
        <v>370</v>
      </c>
      <c r="D177" s="2">
        <f>VLOOKUP(C177,'[1]World Population (2022) '!$B$2:$C$236,2,FALSE)</f>
        <v>1000</v>
      </c>
      <c r="E177" s="2">
        <f>VLOOKUP(D177,'[1]World Population (2022) '!$C$2:$D$236,2,FALSE)</f>
        <v>1.8</v>
      </c>
      <c r="F177" s="2">
        <f>VLOOKUP(C177,'[1]World Population (2022) '!$B$2:$F$236,4,FALSE)</f>
        <v>32</v>
      </c>
      <c r="G177" s="4">
        <f>VLOOKUP(C177,'[1]World Population (2022) '!$B$2:$F$236,5,FALSE)</f>
        <v>0.86</v>
      </c>
      <c r="J177" s="8"/>
    </row>
    <row r="178" spans="1:10" x14ac:dyDescent="0.25">
      <c r="A178" s="2">
        <v>177</v>
      </c>
      <c r="B178" s="2" t="s">
        <v>371</v>
      </c>
      <c r="C178" s="2" t="s">
        <v>372</v>
      </c>
      <c r="D178" s="2">
        <f>VLOOKUP(C178,'[1]World Population (2022) '!$B$2:$C$236,2,FALSE)</f>
        <v>1200</v>
      </c>
      <c r="E178" s="2">
        <f>VLOOKUP(D178,'[1]World Population (2022) '!$C$2:$D$236,2,FALSE)</f>
        <v>2.1</v>
      </c>
      <c r="F178" s="2">
        <f>VLOOKUP(C178,'[1]World Population (2022) '!$B$2:$F$236,4,FALSE)</f>
        <v>25</v>
      </c>
      <c r="G178" s="4">
        <f>VLOOKUP(C178,'[1]World Population (2022) '!$B$2:$F$236,5,FALSE)</f>
        <v>0.46</v>
      </c>
      <c r="J178" s="8"/>
    </row>
    <row r="179" spans="1:10" x14ac:dyDescent="0.25">
      <c r="A179" s="2">
        <v>178</v>
      </c>
      <c r="B179" s="2" t="s">
        <v>373</v>
      </c>
      <c r="C179" s="2" t="s">
        <v>374</v>
      </c>
      <c r="D179" s="2">
        <f>VLOOKUP(C179,'[1]World Population (2022) '!$B$2:$C$236,2,FALSE)</f>
        <v>-1440</v>
      </c>
      <c r="E179" s="2">
        <f>VLOOKUP(D179,'[1]World Population (2022) '!$C$2:$D$236,2,FALSE)</f>
        <v>2.2000000000000002</v>
      </c>
      <c r="F179" s="2">
        <f>VLOOKUP(C179,'[1]World Population (2022) '!$B$2:$F$236,4,FALSE)</f>
        <v>44</v>
      </c>
      <c r="G179" s="4" t="str">
        <f>VLOOKUP(C179,'[1]World Population (2022) '!$B$2:$F$236,5,FALSE)</f>
        <v>N.A.</v>
      </c>
      <c r="J179" s="8"/>
    </row>
    <row r="180" spans="1:10" x14ac:dyDescent="0.25">
      <c r="A180" s="2">
        <v>179</v>
      </c>
      <c r="B180" s="2" t="s">
        <v>375</v>
      </c>
      <c r="C180" s="2" t="s">
        <v>376</v>
      </c>
      <c r="D180" s="2">
        <f>VLOOKUP(C180,'[1]World Population (2022) '!$B$2:$C$236,2,FALSE)</f>
        <v>380</v>
      </c>
      <c r="E180" s="2">
        <f>VLOOKUP(D180,'[1]World Population (2022) '!$C$2:$D$236,2,FALSE)</f>
        <v>1.8</v>
      </c>
      <c r="F180" s="2">
        <f>VLOOKUP(C180,'[1]World Population (2022) '!$B$2:$F$236,4,FALSE)</f>
        <v>37</v>
      </c>
      <c r="G180" s="4">
        <f>VLOOKUP(C180,'[1]World Population (2022) '!$B$2:$F$236,5,FALSE)</f>
        <v>0.94</v>
      </c>
      <c r="J180" s="8"/>
    </row>
    <row r="181" spans="1:10" x14ac:dyDescent="0.25">
      <c r="A181" s="2">
        <v>180</v>
      </c>
      <c r="B181" s="2" t="s">
        <v>377</v>
      </c>
      <c r="C181" s="2" t="s">
        <v>378</v>
      </c>
      <c r="D181" s="2">
        <f>VLOOKUP(C181,'[1]World Population (2022) '!$B$2:$C$236,2,FALSE)</f>
        <v>-960</v>
      </c>
      <c r="E181" s="2">
        <f>VLOOKUP(D181,'[1]World Population (2022) '!$C$2:$D$236,2,FALSE)</f>
        <v>1.9</v>
      </c>
      <c r="F181" s="2">
        <f>VLOOKUP(C181,'[1]World Population (2022) '!$B$2:$F$236,4,FALSE)</f>
        <v>47</v>
      </c>
      <c r="G181" s="4">
        <f>VLOOKUP(C181,'[1]World Population (2022) '!$B$2:$F$236,5,FALSE)</f>
        <v>0.92</v>
      </c>
      <c r="J181" s="8"/>
    </row>
    <row r="182" spans="1:10" x14ac:dyDescent="0.25">
      <c r="A182" s="2">
        <v>181</v>
      </c>
      <c r="B182" s="2" t="s">
        <v>379</v>
      </c>
      <c r="C182" s="2" t="s">
        <v>380</v>
      </c>
      <c r="D182" s="2">
        <f>VLOOKUP(C182,'[1]World Population (2022) '!$B$2:$C$236,2,FALSE)</f>
        <v>120</v>
      </c>
      <c r="E182" s="2">
        <f>VLOOKUP(D182,'[1]World Population (2022) '!$C$2:$D$236,2,FALSE)</f>
        <v>3.8</v>
      </c>
      <c r="F182" s="2">
        <f>VLOOKUP(C182,'[1]World Population (2022) '!$B$2:$F$236,4,FALSE)</f>
        <v>21</v>
      </c>
      <c r="G182" s="4">
        <f>VLOOKUP(C182,'[1]World Population (2022) '!$B$2:$F$236,5,FALSE)</f>
        <v>0.24</v>
      </c>
      <c r="J182" s="8"/>
    </row>
    <row r="183" spans="1:10" x14ac:dyDescent="0.25">
      <c r="A183" s="2">
        <v>182</v>
      </c>
      <c r="B183" s="2" t="s">
        <v>381</v>
      </c>
      <c r="C183" s="2" t="s">
        <v>382</v>
      </c>
      <c r="D183" s="2">
        <f>VLOOKUP(C183,'[1]World Population (2022) '!$B$2:$C$236,2,FALSE)</f>
        <v>0</v>
      </c>
      <c r="E183" s="2">
        <f>VLOOKUP(D183,'[1]World Population (2022) '!$C$2:$D$236,2,FALSE)</f>
        <v>1.4</v>
      </c>
      <c r="F183" s="2">
        <f>VLOOKUP(C183,'[1]World Population (2022) '!$B$2:$F$236,4,FALSE)</f>
        <v>20</v>
      </c>
      <c r="G183" s="4">
        <f>VLOOKUP(C183,'[1]World Population (2022) '!$B$2:$F$236,5,FALSE)</f>
        <v>0.46</v>
      </c>
      <c r="J183" s="8"/>
    </row>
    <row r="184" spans="1:10" x14ac:dyDescent="0.25">
      <c r="A184" s="2">
        <v>183</v>
      </c>
      <c r="B184" s="2" t="s">
        <v>383</v>
      </c>
      <c r="C184" s="2" t="s">
        <v>384</v>
      </c>
      <c r="D184" s="2">
        <f>VLOOKUP(C184,'[1]World Population (2022) '!$B$2:$C$236,2,FALSE)</f>
        <v>-1000</v>
      </c>
      <c r="E184" s="2">
        <f>VLOOKUP(D184,'[1]World Population (2022) '!$C$2:$D$236,2,FALSE)</f>
        <v>1.5</v>
      </c>
      <c r="F184" s="2">
        <f>VLOOKUP(C184,'[1]World Population (2022) '!$B$2:$F$236,4,FALSE)</f>
        <v>34</v>
      </c>
      <c r="G184" s="4">
        <f>VLOOKUP(C184,'[1]World Population (2022) '!$B$2:$F$236,5,FALSE)</f>
        <v>0.64</v>
      </c>
      <c r="J184" s="8"/>
    </row>
    <row r="185" spans="1:10" x14ac:dyDescent="0.25">
      <c r="A185" s="2">
        <v>184</v>
      </c>
      <c r="B185" s="2" t="s">
        <v>385</v>
      </c>
      <c r="C185" s="2" t="s">
        <v>386</v>
      </c>
      <c r="D185" s="2">
        <f>VLOOKUP(C185,'[1]World Population (2022) '!$B$2:$C$236,2,FALSE)</f>
        <v>1200</v>
      </c>
      <c r="E185" s="2">
        <f>VLOOKUP(D185,'[1]World Population (2022) '!$C$2:$D$236,2,FALSE)</f>
        <v>2.1</v>
      </c>
      <c r="F185" s="2">
        <f>VLOOKUP(C185,'[1]World Population (2022) '!$B$2:$F$236,4,FALSE)</f>
        <v>25</v>
      </c>
      <c r="G185" s="4">
        <f>VLOOKUP(C185,'[1]World Population (2022) '!$B$2:$F$236,5,FALSE)</f>
        <v>0.87</v>
      </c>
      <c r="J185" s="8"/>
    </row>
    <row r="186" spans="1:10" x14ac:dyDescent="0.25">
      <c r="A186" s="2">
        <v>185</v>
      </c>
      <c r="B186" s="2" t="s">
        <v>387</v>
      </c>
      <c r="C186" s="2" t="s">
        <v>388</v>
      </c>
      <c r="D186" s="2">
        <f>VLOOKUP(C186,'[1]World Population (2022) '!$B$2:$C$236,2,FALSE)</f>
        <v>502</v>
      </c>
      <c r="E186" s="2">
        <f>VLOOKUP(D186,'[1]World Population (2022) '!$C$2:$D$236,2,FALSE)</f>
        <v>2</v>
      </c>
      <c r="F186" s="2">
        <f>VLOOKUP(C186,'[1]World Population (2022) '!$B$2:$F$236,4,FALSE)</f>
        <v>34</v>
      </c>
      <c r="G186" s="4">
        <f>VLOOKUP(C186,'[1]World Population (2022) '!$B$2:$F$236,5,FALSE)</f>
        <v>0.72</v>
      </c>
      <c r="J186" s="8"/>
    </row>
    <row r="187" spans="1:10" x14ac:dyDescent="0.25">
      <c r="A187" s="2">
        <v>186</v>
      </c>
      <c r="B187" s="2" t="s">
        <v>389</v>
      </c>
      <c r="C187" s="2" t="s">
        <v>390</v>
      </c>
      <c r="D187" s="2">
        <f>VLOOKUP(C187,'[1]World Population (2022) '!$B$2:$C$236,2,FALSE)</f>
        <v>-79</v>
      </c>
      <c r="E187" s="2">
        <f>VLOOKUP(D187,'[1]World Population (2022) '!$C$2:$D$236,2,FALSE)</f>
        <v>1.6</v>
      </c>
      <c r="F187" s="2">
        <f>VLOOKUP(C187,'[1]World Population (2022) '!$B$2:$F$236,4,FALSE)</f>
        <v>40</v>
      </c>
      <c r="G187" s="4">
        <f>VLOOKUP(C187,'[1]World Population (2022) '!$B$2:$F$236,5,FALSE)</f>
        <v>0.31</v>
      </c>
      <c r="J187" s="8"/>
    </row>
    <row r="188" spans="1:10" x14ac:dyDescent="0.25">
      <c r="A188" s="2">
        <v>187</v>
      </c>
      <c r="B188" s="2" t="s">
        <v>391</v>
      </c>
      <c r="C188" s="2" t="s">
        <v>392</v>
      </c>
      <c r="D188" s="2" t="e">
        <f>VLOOKUP(C188,'[1]World Population (2022) '!$B$2:$C$236,2,FALSE)</f>
        <v>#N/A</v>
      </c>
      <c r="E188" s="2" t="e">
        <f>VLOOKUP(D188,'[1]World Population (2022) '!$C$2:$D$236,2,FALSE)</f>
        <v>#N/A</v>
      </c>
      <c r="F188" s="2" t="e">
        <f>VLOOKUP(C188,'[1]World Population (2022) '!$B$2:$F$236,4,FALSE)</f>
        <v>#N/A</v>
      </c>
      <c r="G188" s="4" t="e">
        <f>VLOOKUP(C188,'[1]World Population (2022) '!$B$2:$F$236,5,FALSE)</f>
        <v>#N/A</v>
      </c>
      <c r="J188" s="8"/>
    </row>
    <row r="189" spans="1:10" x14ac:dyDescent="0.25">
      <c r="A189" s="2">
        <v>188</v>
      </c>
      <c r="B189" s="2" t="s">
        <v>393</v>
      </c>
      <c r="C189" s="2" t="s">
        <v>394</v>
      </c>
      <c r="D189" s="2">
        <f>VLOOKUP(C189,'[1]World Population (2022) '!$B$2:$C$236,2,FALSE)</f>
        <v>-2803</v>
      </c>
      <c r="E189" s="2">
        <f>VLOOKUP(D189,'[1]World Population (2022) '!$C$2:$D$236,2,FALSE)</f>
        <v>3.9</v>
      </c>
      <c r="F189" s="2">
        <f>VLOOKUP(C189,'[1]World Population (2022) '!$B$2:$F$236,4,FALSE)</f>
        <v>22</v>
      </c>
      <c r="G189" s="4">
        <f>VLOOKUP(C189,'[1]World Population (2022) '!$B$2:$F$236,5,FALSE)</f>
        <v>0.18</v>
      </c>
      <c r="J189" s="8"/>
    </row>
    <row r="190" spans="1:10" x14ac:dyDescent="0.25">
      <c r="A190" s="2">
        <v>189</v>
      </c>
      <c r="B190" s="2" t="s">
        <v>395</v>
      </c>
      <c r="C190" s="2" t="s">
        <v>396</v>
      </c>
      <c r="D190" s="2" t="e">
        <f>VLOOKUP(C190,'[1]World Population (2022) '!$B$2:$C$236,2,FALSE)</f>
        <v>#N/A</v>
      </c>
      <c r="E190" s="2" t="e">
        <f>VLOOKUP(D190,'[1]World Population (2022) '!$C$2:$D$236,2,FALSE)</f>
        <v>#N/A</v>
      </c>
      <c r="F190" s="2" t="e">
        <f>VLOOKUP(C190,'[1]World Population (2022) '!$B$2:$F$236,4,FALSE)</f>
        <v>#N/A</v>
      </c>
      <c r="G190" s="4" t="e">
        <f>VLOOKUP(C190,'[1]World Population (2022) '!$B$2:$F$236,5,FALSE)</f>
        <v>#N/A</v>
      </c>
      <c r="J190" s="8"/>
    </row>
    <row r="191" spans="1:10" x14ac:dyDescent="0.25">
      <c r="A191" s="2">
        <v>190</v>
      </c>
      <c r="B191" s="2" t="s">
        <v>397</v>
      </c>
      <c r="C191" s="2" t="s">
        <v>398</v>
      </c>
      <c r="D191" s="2">
        <f>VLOOKUP(C191,'[1]World Population (2022) '!$B$2:$C$236,2,FALSE)</f>
        <v>0</v>
      </c>
      <c r="E191" s="2">
        <f>VLOOKUP(D191,'[1]World Population (2022) '!$C$2:$D$236,2,FALSE)</f>
        <v>1.4</v>
      </c>
      <c r="F191" s="2">
        <f>VLOOKUP(C191,'[1]World Population (2022) '!$B$2:$F$236,4,FALSE)</f>
        <v>34</v>
      </c>
      <c r="G191" s="4">
        <f>VLOOKUP(C191,'[1]World Population (2022) '!$B$2:$F$236,5,FALSE)</f>
        <v>0.19</v>
      </c>
      <c r="J191" s="8"/>
    </row>
    <row r="192" spans="1:10" x14ac:dyDescent="0.25">
      <c r="A192" s="2">
        <v>191</v>
      </c>
      <c r="B192" s="2" t="s">
        <v>399</v>
      </c>
      <c r="C192" s="2" t="s">
        <v>400</v>
      </c>
      <c r="D192" s="2">
        <f>VLOOKUP(C192,'[1]World Population (2022) '!$B$2:$C$236,2,FALSE)</f>
        <v>-506</v>
      </c>
      <c r="E192" s="2">
        <f>VLOOKUP(D192,'[1]World Population (2022) '!$C$2:$D$236,2,FALSE)</f>
        <v>2.2999999999999998</v>
      </c>
      <c r="F192" s="2">
        <f>VLOOKUP(C192,'[1]World Population (2022) '!$B$2:$F$236,4,FALSE)</f>
        <v>31</v>
      </c>
      <c r="G192" s="4">
        <f>VLOOKUP(C192,'[1]World Population (2022) '!$B$2:$F$236,5,FALSE)</f>
        <v>0.95</v>
      </c>
      <c r="J192" s="8"/>
    </row>
    <row r="193" spans="1:10" x14ac:dyDescent="0.25">
      <c r="A193" s="2">
        <v>192</v>
      </c>
      <c r="B193" s="2" t="s">
        <v>401</v>
      </c>
      <c r="C193" s="2" t="s">
        <v>402</v>
      </c>
      <c r="D193" s="2">
        <f>VLOOKUP(C193,'[1]World Population (2022) '!$B$2:$C$236,2,FALSE)</f>
        <v>-800</v>
      </c>
      <c r="E193" s="2">
        <f>VLOOKUP(D193,'[1]World Population (2022) '!$C$2:$D$236,2,FALSE)</f>
        <v>3.6</v>
      </c>
      <c r="F193" s="2">
        <f>VLOOKUP(C193,'[1]World Population (2022) '!$B$2:$F$236,4,FALSE)</f>
        <v>23</v>
      </c>
      <c r="G193" s="4">
        <f>VLOOKUP(C193,'[1]World Population (2022) '!$B$2:$F$236,5,FALSE)</f>
        <v>0.56999999999999995</v>
      </c>
      <c r="J193" s="8"/>
    </row>
    <row r="194" spans="1:10" x14ac:dyDescent="0.25">
      <c r="A194" s="2">
        <v>193</v>
      </c>
      <c r="B194" s="2" t="s">
        <v>403</v>
      </c>
      <c r="C194" s="2" t="s">
        <v>404</v>
      </c>
      <c r="D194" s="2">
        <f>VLOOKUP(C194,'[1]World Population (2022) '!$B$2:$C$236,2,FALSE)</f>
        <v>-200</v>
      </c>
      <c r="E194" s="2">
        <f>VLOOKUP(D194,'[1]World Population (2022) '!$C$2:$D$236,2,FALSE)</f>
        <v>2.1</v>
      </c>
      <c r="F194" s="2">
        <f>VLOOKUP(C194,'[1]World Population (2022) '!$B$2:$F$236,4,FALSE)</f>
        <v>32</v>
      </c>
      <c r="G194" s="4">
        <f>VLOOKUP(C194,'[1]World Population (2022) '!$B$2:$F$236,5,FALSE)</f>
        <v>0.35</v>
      </c>
      <c r="J194" s="8"/>
    </row>
    <row r="195" spans="1:10" x14ac:dyDescent="0.25">
      <c r="A195" s="2">
        <v>194</v>
      </c>
      <c r="B195" s="2" t="s">
        <v>405</v>
      </c>
      <c r="C195" s="2" t="s">
        <v>406</v>
      </c>
      <c r="D195" s="2">
        <f>VLOOKUP(C195,'[1]World Population (2022) '!$B$2:$C$236,2,FALSE)</f>
        <v>-2957</v>
      </c>
      <c r="E195" s="2">
        <f>VLOOKUP(D195,'[1]World Population (2022) '!$C$2:$D$236,2,FALSE)</f>
        <v>2.9</v>
      </c>
      <c r="F195" s="2">
        <f>VLOOKUP(C195,'[1]World Population (2022) '!$B$2:$F$236,4,FALSE)</f>
        <v>27</v>
      </c>
      <c r="G195" s="4">
        <f>VLOOKUP(C195,'[1]World Population (2022) '!$B$2:$F$236,5,FALSE)</f>
        <v>0.68</v>
      </c>
      <c r="J195" s="8"/>
    </row>
    <row r="196" spans="1:10" x14ac:dyDescent="0.25">
      <c r="A196" s="2">
        <v>195</v>
      </c>
      <c r="B196" s="2" t="s">
        <v>407</v>
      </c>
      <c r="C196" s="2" t="s">
        <v>408</v>
      </c>
      <c r="D196" s="2" t="e">
        <f>VLOOKUP(C196,'[1]World Population (2022) '!$B$2:$C$236,2,FALSE)</f>
        <v>#N/A</v>
      </c>
      <c r="E196" s="2" t="e">
        <f>VLOOKUP(D196,'[1]World Population (2022) '!$C$2:$D$236,2,FALSE)</f>
        <v>#N/A</v>
      </c>
      <c r="F196" s="2" t="e">
        <f>VLOOKUP(C196,'[1]World Population (2022) '!$B$2:$F$236,4,FALSE)</f>
        <v>#N/A</v>
      </c>
      <c r="G196" s="4" t="e">
        <f>VLOOKUP(C196,'[1]World Population (2022) '!$B$2:$F$236,5,FALSE)</f>
        <v>#N/A</v>
      </c>
      <c r="J196" s="8"/>
    </row>
    <row r="197" spans="1:10" x14ac:dyDescent="0.25">
      <c r="A197" s="2">
        <v>196</v>
      </c>
      <c r="B197" s="2" t="s">
        <v>409</v>
      </c>
      <c r="C197" s="2" t="s">
        <v>410</v>
      </c>
      <c r="D197" s="2">
        <f>VLOOKUP(C197,'[1]World Population (2022) '!$B$2:$C$236,2,FALSE)</f>
        <v>-200</v>
      </c>
      <c r="E197" s="2">
        <f>VLOOKUP(D197,'[1]World Population (2022) '!$C$2:$D$236,2,FALSE)</f>
        <v>2.1</v>
      </c>
      <c r="F197" s="2">
        <f>VLOOKUP(C197,'[1]World Population (2022) '!$B$2:$F$236,4,FALSE)</f>
        <v>34</v>
      </c>
      <c r="G197" s="4">
        <f>VLOOKUP(C197,'[1]World Population (2022) '!$B$2:$F$236,5,FALSE)</f>
        <v>0.56000000000000005</v>
      </c>
      <c r="J197" s="8"/>
    </row>
    <row r="198" spans="1:10" x14ac:dyDescent="0.25">
      <c r="A198" s="2">
        <v>197</v>
      </c>
      <c r="B198" s="2" t="s">
        <v>411</v>
      </c>
      <c r="C198" s="2" t="s">
        <v>412</v>
      </c>
      <c r="D198" s="2">
        <f>VLOOKUP(C198,'[1]World Population (2022) '!$B$2:$C$236,2,FALSE)</f>
        <v>-800</v>
      </c>
      <c r="E198" s="2">
        <f>VLOOKUP(D198,'[1]World Population (2022) '!$C$2:$D$236,2,FALSE)</f>
        <v>3.6</v>
      </c>
      <c r="F198" s="2">
        <f>VLOOKUP(C198,'[1]World Population (2022) '!$B$2:$F$236,4,FALSE)</f>
        <v>22</v>
      </c>
      <c r="G198" s="4">
        <f>VLOOKUP(C198,'[1]World Population (2022) '!$B$2:$F$236,5,FALSE)</f>
        <v>0.24</v>
      </c>
      <c r="J198" s="8"/>
    </row>
    <row r="199" spans="1:10" x14ac:dyDescent="0.25">
      <c r="A199" s="2">
        <v>198</v>
      </c>
      <c r="B199" s="2" t="s">
        <v>413</v>
      </c>
      <c r="C199" s="2" t="s">
        <v>414</v>
      </c>
      <c r="D199" s="2">
        <f>VLOOKUP(C199,'[1]World Population (2022) '!$B$2:$C$236,2,FALSE)</f>
        <v>201</v>
      </c>
      <c r="E199" s="2">
        <f>VLOOKUP(D199,'[1]World Population (2022) '!$C$2:$D$236,2,FALSE)</f>
        <v>1.9</v>
      </c>
      <c r="F199" s="2">
        <f>VLOOKUP(C199,'[1]World Population (2022) '!$B$2:$F$236,4,FALSE)</f>
        <v>41</v>
      </c>
      <c r="G199" s="4">
        <f>VLOOKUP(C199,'[1]World Population (2022) '!$B$2:$F$236,5,FALSE)</f>
        <v>0.44</v>
      </c>
      <c r="J199" s="8"/>
    </row>
    <row r="200" spans="1:10" x14ac:dyDescent="0.25">
      <c r="A200" s="2">
        <v>199</v>
      </c>
      <c r="B200" s="2" t="s">
        <v>415</v>
      </c>
      <c r="C200" s="2" t="s">
        <v>416</v>
      </c>
      <c r="D200" s="2" t="e">
        <f>VLOOKUP(C200,'[1]World Population (2022) '!$B$2:$C$236,2,FALSE)</f>
        <v>#N/A</v>
      </c>
      <c r="E200" s="2" t="e">
        <f>VLOOKUP(D200,'[1]World Population (2022) '!$C$2:$D$236,2,FALSE)</f>
        <v>#N/A</v>
      </c>
      <c r="F200" s="2" t="e">
        <f>VLOOKUP(C200,'[1]World Population (2022) '!$B$2:$F$236,4,FALSE)</f>
        <v>#N/A</v>
      </c>
      <c r="G200" s="4" t="e">
        <f>VLOOKUP(C200,'[1]World Population (2022) '!$B$2:$F$236,5,FALSE)</f>
        <v>#N/A</v>
      </c>
      <c r="J200" s="8"/>
    </row>
    <row r="201" spans="1:10" x14ac:dyDescent="0.25">
      <c r="A201" s="2">
        <v>200</v>
      </c>
      <c r="B201" s="2" t="s">
        <v>417</v>
      </c>
      <c r="C201" s="2" t="s">
        <v>418</v>
      </c>
      <c r="D201" s="2" t="e">
        <f>VLOOKUP(C201,'[1]World Population (2022) '!$B$2:$C$236,2,FALSE)</f>
        <v>#N/A</v>
      </c>
      <c r="E201" s="2" t="e">
        <f>VLOOKUP(D201,'[1]World Population (2022) '!$C$2:$D$236,2,FALSE)</f>
        <v>#N/A</v>
      </c>
      <c r="F201" s="2" t="e">
        <f>VLOOKUP(C201,'[1]World Population (2022) '!$B$2:$F$236,4,FALSE)</f>
        <v>#N/A</v>
      </c>
      <c r="G201" s="4" t="e">
        <f>VLOOKUP(C201,'[1]World Population (2022) '!$B$2:$F$236,5,FALSE)</f>
        <v>#N/A</v>
      </c>
      <c r="J201" s="8"/>
    </row>
    <row r="202" spans="1:10" x14ac:dyDescent="0.25">
      <c r="A202" s="2">
        <v>201</v>
      </c>
      <c r="B202" s="2" t="s">
        <v>419</v>
      </c>
      <c r="C202" s="2" t="s">
        <v>420</v>
      </c>
      <c r="D202" s="2">
        <f>VLOOKUP(C202,'[1]World Population (2022) '!$B$2:$C$236,2,FALSE)</f>
        <v>0</v>
      </c>
      <c r="E202" s="2">
        <f>VLOOKUP(D202,'[1]World Population (2022) '!$C$2:$D$236,2,FALSE)</f>
        <v>1.4</v>
      </c>
      <c r="F202" s="2">
        <f>VLOOKUP(C202,'[1]World Population (2022) '!$B$2:$F$236,4,FALSE)</f>
        <v>34</v>
      </c>
      <c r="G202" s="4">
        <f>VLOOKUP(C202,'[1]World Population (2022) '!$B$2:$F$236,5,FALSE)</f>
        <v>0.26</v>
      </c>
      <c r="J202" s="8"/>
    </row>
    <row r="203" spans="1:10" x14ac:dyDescent="0.25">
      <c r="A203" s="2">
        <v>202</v>
      </c>
      <c r="B203" s="2" t="s">
        <v>421</v>
      </c>
      <c r="C203" s="2" t="s">
        <v>422</v>
      </c>
      <c r="D203" s="2">
        <f>VLOOKUP(C203,'[1]World Population (2022) '!$B$2:$C$236,2,FALSE)</f>
        <v>0</v>
      </c>
      <c r="E203" s="2">
        <f>VLOOKUP(D203,'[1]World Population (2022) '!$C$2:$D$236,2,FALSE)</f>
        <v>1.4</v>
      </c>
      <c r="F203" s="2" t="str">
        <f>VLOOKUP(C203,'[1]World Population (2022) '!$B$2:$F$236,4,FALSE)</f>
        <v>N.A.</v>
      </c>
      <c r="G203" s="4">
        <f>VLOOKUP(C203,'[1]World Population (2022) '!$B$2:$F$236,5,FALSE)</f>
        <v>0.53</v>
      </c>
      <c r="J203" s="8"/>
    </row>
    <row r="204" spans="1:10" x14ac:dyDescent="0.25">
      <c r="A204" s="2">
        <v>203</v>
      </c>
      <c r="B204" s="2" t="s">
        <v>423</v>
      </c>
      <c r="C204" s="2" t="s">
        <v>424</v>
      </c>
      <c r="D204" s="2">
        <f>VLOOKUP(C204,'[1]World Population (2022) '!$B$2:$C$236,2,FALSE)</f>
        <v>0</v>
      </c>
      <c r="E204" s="2">
        <f>VLOOKUP(D204,'[1]World Population (2022) '!$C$2:$D$236,2,FALSE)</f>
        <v>1.4</v>
      </c>
      <c r="F204" s="2" t="str">
        <f>VLOOKUP(C204,'[1]World Population (2022) '!$B$2:$F$236,4,FALSE)</f>
        <v>N.A.</v>
      </c>
      <c r="G204" s="4">
        <f>VLOOKUP(C204,'[1]World Population (2022) '!$B$2:$F$236,5,FALSE)</f>
        <v>0.88</v>
      </c>
      <c r="J204" s="8"/>
    </row>
    <row r="205" spans="1:10" x14ac:dyDescent="0.25">
      <c r="A205" s="2">
        <v>204</v>
      </c>
      <c r="B205" s="2" t="s">
        <v>425</v>
      </c>
      <c r="C205" s="2" t="s">
        <v>426</v>
      </c>
      <c r="D205" s="2">
        <f>VLOOKUP(C205,'[1]World Population (2022) '!$B$2:$C$236,2,FALSE)</f>
        <v>0</v>
      </c>
      <c r="E205" s="2">
        <f>VLOOKUP(D205,'[1]World Population (2022) '!$C$2:$D$236,2,FALSE)</f>
        <v>1.4</v>
      </c>
      <c r="F205" s="2" t="str">
        <f>VLOOKUP(C205,'[1]World Population (2022) '!$B$2:$F$236,4,FALSE)</f>
        <v>N.A.</v>
      </c>
      <c r="G205" s="4">
        <f>VLOOKUP(C205,'[1]World Population (2022) '!$B$2:$F$236,5,FALSE)</f>
        <v>0.74</v>
      </c>
      <c r="J205" s="8"/>
    </row>
    <row r="206" spans="1:10" x14ac:dyDescent="0.25">
      <c r="A206" s="2">
        <v>205</v>
      </c>
      <c r="B206" s="2" t="s">
        <v>427</v>
      </c>
      <c r="C206" s="2" t="s">
        <v>428</v>
      </c>
      <c r="D206" s="2">
        <f>VLOOKUP(C206,'[1]World Population (2022) '!$B$2:$C$236,2,FALSE)</f>
        <v>0</v>
      </c>
      <c r="E206" s="2">
        <f>VLOOKUP(D206,'[1]World Population (2022) '!$C$2:$D$236,2,FALSE)</f>
        <v>1.4</v>
      </c>
      <c r="F206" s="2" t="str">
        <f>VLOOKUP(C206,'[1]World Population (2022) '!$B$2:$F$236,4,FALSE)</f>
        <v>N.A.</v>
      </c>
      <c r="G206" s="4">
        <f>VLOOKUP(C206,'[1]World Population (2022) '!$B$2:$F$236,5,FALSE)</f>
        <v>0.97</v>
      </c>
      <c r="J206" s="8"/>
    </row>
    <row r="207" spans="1:10" x14ac:dyDescent="0.25">
      <c r="A207" s="2">
        <v>206</v>
      </c>
      <c r="B207" s="2" t="s">
        <v>429</v>
      </c>
      <c r="C207" s="2" t="s">
        <v>430</v>
      </c>
      <c r="D207" s="2">
        <f>VLOOKUP(C207,'[1]World Population (2022) '!$B$2:$C$236,2,FALSE)</f>
        <v>0</v>
      </c>
      <c r="E207" s="2">
        <f>VLOOKUP(D207,'[1]World Population (2022) '!$C$2:$D$236,2,FALSE)</f>
        <v>1.4</v>
      </c>
      <c r="F207" s="2" t="str">
        <f>VLOOKUP(C207,'[1]World Population (2022) '!$B$2:$F$236,4,FALSE)</f>
        <v>N.A.</v>
      </c>
      <c r="G207" s="4">
        <f>VLOOKUP(C207,'[1]World Population (2022) '!$B$2:$F$236,5,FALSE)</f>
        <v>0.97</v>
      </c>
      <c r="J207" s="8"/>
    </row>
    <row r="208" spans="1:10" x14ac:dyDescent="0.25">
      <c r="A208" s="2">
        <v>207</v>
      </c>
      <c r="B208" s="2" t="s">
        <v>431</v>
      </c>
      <c r="C208" s="2" t="s">
        <v>432</v>
      </c>
      <c r="D208" s="2" t="e">
        <f>VLOOKUP(C208,'[1]World Population (2022) '!$B$2:$C$236,2,FALSE)</f>
        <v>#N/A</v>
      </c>
      <c r="E208" s="2" t="e">
        <f>VLOOKUP(D208,'[1]World Population (2022) '!$C$2:$D$236,2,FALSE)</f>
        <v>#N/A</v>
      </c>
      <c r="F208" s="2" t="e">
        <f>VLOOKUP(C208,'[1]World Population (2022) '!$B$2:$F$236,4,FALSE)</f>
        <v>#N/A</v>
      </c>
      <c r="G208" s="4" t="e">
        <f>VLOOKUP(C208,'[1]World Population (2022) '!$B$2:$F$236,5,FALSE)</f>
        <v>#N/A</v>
      </c>
      <c r="J208" s="8"/>
    </row>
    <row r="209" spans="1:10" x14ac:dyDescent="0.25">
      <c r="A209" s="2">
        <v>208</v>
      </c>
      <c r="B209" s="2" t="s">
        <v>433</v>
      </c>
      <c r="C209" s="2" t="s">
        <v>434</v>
      </c>
      <c r="D209" s="2">
        <f>VLOOKUP(C209,'[1]World Population (2022) '!$B$2:$C$236,2,FALSE)</f>
        <v>0</v>
      </c>
      <c r="E209" s="2">
        <f>VLOOKUP(D209,'[1]World Population (2022) '!$C$2:$D$236,2,FALSE)</f>
        <v>1.4</v>
      </c>
      <c r="F209" s="2" t="str">
        <f>VLOOKUP(C209,'[1]World Population (2022) '!$B$2:$F$236,4,FALSE)</f>
        <v>N.A.</v>
      </c>
      <c r="G209" s="4">
        <f>VLOOKUP(C209,'[1]World Population (2022) '!$B$2:$F$236,5,FALSE)</f>
        <v>0.87</v>
      </c>
      <c r="J209" s="8"/>
    </row>
    <row r="210" spans="1:10" x14ac:dyDescent="0.25">
      <c r="A210" s="2">
        <v>209</v>
      </c>
      <c r="B210" s="2" t="s">
        <v>435</v>
      </c>
      <c r="C210" s="2" t="s">
        <v>436</v>
      </c>
      <c r="D210" s="2" t="e">
        <f>VLOOKUP(C210,'[1]World Population (2022) '!$B$2:$C$236,2,FALSE)</f>
        <v>#N/A</v>
      </c>
      <c r="E210" s="2" t="e">
        <f>VLOOKUP(D210,'[1]World Population (2022) '!$C$2:$D$236,2,FALSE)</f>
        <v>#N/A</v>
      </c>
      <c r="F210" s="2" t="e">
        <f>VLOOKUP(C210,'[1]World Population (2022) '!$B$2:$F$236,4,FALSE)</f>
        <v>#N/A</v>
      </c>
      <c r="G210" s="4" t="e">
        <f>VLOOKUP(C210,'[1]World Population (2022) '!$B$2:$F$236,5,FALSE)</f>
        <v>#N/A</v>
      </c>
      <c r="J210" s="8"/>
    </row>
    <row r="211" spans="1:10" x14ac:dyDescent="0.25">
      <c r="A211" s="2">
        <v>210</v>
      </c>
      <c r="B211" s="2" t="s">
        <v>437</v>
      </c>
      <c r="C211" s="2" t="s">
        <v>438</v>
      </c>
      <c r="D211" s="2">
        <f>VLOOKUP(C211,'[1]World Population (2022) '!$B$2:$C$236,2,FALSE)</f>
        <v>0</v>
      </c>
      <c r="E211" s="2">
        <f>VLOOKUP(D211,'[1]World Population (2022) '!$C$2:$D$236,2,FALSE)</f>
        <v>1.4</v>
      </c>
      <c r="F211" s="2" t="str">
        <f>VLOOKUP(C211,'[1]World Population (2022) '!$B$2:$F$236,4,FALSE)</f>
        <v>N.A.</v>
      </c>
      <c r="G211" s="4">
        <f>VLOOKUP(C211,'[1]World Population (2022) '!$B$2:$F$236,5,FALSE)</f>
        <v>0.88</v>
      </c>
      <c r="J211" s="8"/>
    </row>
    <row r="212" spans="1:10" x14ac:dyDescent="0.25">
      <c r="A212" s="2">
        <v>211</v>
      </c>
      <c r="B212" s="2" t="s">
        <v>439</v>
      </c>
      <c r="C212" s="2" t="s">
        <v>440</v>
      </c>
      <c r="D212" s="2" t="e">
        <f>VLOOKUP(C212,'[1]World Population (2022) '!$B$2:$C$236,2,FALSE)</f>
        <v>#N/A</v>
      </c>
      <c r="E212" s="2" t="e">
        <f>VLOOKUP(D212,'[1]World Population (2022) '!$C$2:$D$236,2,FALSE)</f>
        <v>#N/A</v>
      </c>
      <c r="F212" s="2" t="e">
        <f>VLOOKUP(C212,'[1]World Population (2022) '!$B$2:$F$236,4,FALSE)</f>
        <v>#N/A</v>
      </c>
      <c r="G212" s="4" t="e">
        <f>VLOOKUP(C212,'[1]World Population (2022) '!$B$2:$F$236,5,FALSE)</f>
        <v>#N/A</v>
      </c>
      <c r="J212" s="8"/>
    </row>
    <row r="213" spans="1:10" x14ac:dyDescent="0.25">
      <c r="A213" s="2">
        <v>212</v>
      </c>
      <c r="B213" s="2" t="s">
        <v>441</v>
      </c>
      <c r="C213" s="2" t="s">
        <v>442</v>
      </c>
      <c r="D213" s="2" t="e">
        <f>VLOOKUP(C213,'[1]World Population (2022) '!$B$2:$C$236,2,FALSE)</f>
        <v>#N/A</v>
      </c>
      <c r="E213" s="2" t="e">
        <f>VLOOKUP(D213,'[1]World Population (2022) '!$C$2:$D$236,2,FALSE)</f>
        <v>#N/A</v>
      </c>
      <c r="F213" s="2" t="e">
        <f>VLOOKUP(C213,'[1]World Population (2022) '!$B$2:$F$236,4,FALSE)</f>
        <v>#N/A</v>
      </c>
      <c r="G213" s="4" t="e">
        <f>VLOOKUP(C213,'[1]World Population (2022) '!$B$2:$F$236,5,FALSE)</f>
        <v>#N/A</v>
      </c>
      <c r="J213" s="8"/>
    </row>
    <row r="214" spans="1:10" x14ac:dyDescent="0.25">
      <c r="A214" s="2">
        <v>213</v>
      </c>
      <c r="B214" s="2" t="s">
        <v>443</v>
      </c>
      <c r="C214" s="2" t="s">
        <v>444</v>
      </c>
      <c r="D214" s="2">
        <f>VLOOKUP(C214,'[1]World Population (2022) '!$B$2:$C$236,2,FALSE)</f>
        <v>0</v>
      </c>
      <c r="E214" s="2">
        <f>VLOOKUP(D214,'[1]World Population (2022) '!$C$2:$D$236,2,FALSE)</f>
        <v>1.4</v>
      </c>
      <c r="F214" s="2" t="str">
        <f>VLOOKUP(C214,'[1]World Population (2022) '!$B$2:$F$236,4,FALSE)</f>
        <v>N.A.</v>
      </c>
      <c r="G214" s="4">
        <f>VLOOKUP(C214,'[1]World Population (2022) '!$B$2:$F$236,5,FALSE)</f>
        <v>0.88</v>
      </c>
      <c r="J214" s="8"/>
    </row>
    <row r="215" spans="1:10" x14ac:dyDescent="0.25">
      <c r="A215" s="2">
        <v>214</v>
      </c>
      <c r="B215" s="2" t="s">
        <v>445</v>
      </c>
      <c r="C215" s="2" t="s">
        <v>446</v>
      </c>
      <c r="D215" s="2">
        <f>VLOOKUP(C215,'[1]World Population (2022) '!$B$2:$C$236,2,FALSE)</f>
        <v>0</v>
      </c>
      <c r="E215" s="2">
        <f>VLOOKUP(D215,'[1]World Population (2022) '!$C$2:$D$236,2,FALSE)</f>
        <v>1.4</v>
      </c>
      <c r="F215" s="2" t="str">
        <f>VLOOKUP(C215,'[1]World Population (2022) '!$B$2:$F$236,4,FALSE)</f>
        <v>N.A.</v>
      </c>
      <c r="G215" s="4">
        <f>VLOOKUP(C215,'[1]World Population (2022) '!$B$2:$F$236,5,FALSE)</f>
        <v>0.96</v>
      </c>
      <c r="J215" s="8"/>
    </row>
    <row r="216" spans="1:10" x14ac:dyDescent="0.25">
      <c r="A216" s="2">
        <v>215</v>
      </c>
      <c r="B216" s="2" t="s">
        <v>447</v>
      </c>
      <c r="C216" s="2" t="s">
        <v>448</v>
      </c>
      <c r="D216" s="2">
        <f>VLOOKUP(C216,'[1]World Population (2022) '!$B$2:$C$236,2,FALSE)</f>
        <v>0</v>
      </c>
      <c r="E216" s="2">
        <f>VLOOKUP(D216,'[1]World Population (2022) '!$C$2:$D$236,2,FALSE)</f>
        <v>1.4</v>
      </c>
      <c r="F216" s="2" t="str">
        <f>VLOOKUP(C216,'[1]World Population (2022) '!$B$2:$F$236,4,FALSE)</f>
        <v>N.A.</v>
      </c>
      <c r="G216" s="4">
        <f>VLOOKUP(C216,'[1]World Population (2022) '!$B$2:$F$236,5,FALSE)</f>
        <v>0.7</v>
      </c>
      <c r="J216" s="8"/>
    </row>
    <row r="217" spans="1:10" x14ac:dyDescent="0.25">
      <c r="A217" s="2">
        <v>216</v>
      </c>
      <c r="B217" s="2" t="s">
        <v>449</v>
      </c>
      <c r="C217" s="2" t="s">
        <v>450</v>
      </c>
      <c r="D217" s="2">
        <f>VLOOKUP(C217,'[1]World Population (2022) '!$B$2:$C$236,2,FALSE)</f>
        <v>0</v>
      </c>
      <c r="E217" s="2">
        <f>VLOOKUP(D217,'[1]World Population (2022) '!$C$2:$D$236,2,FALSE)</f>
        <v>1.4</v>
      </c>
      <c r="F217" s="2" t="str">
        <f>VLOOKUP(C217,'[1]World Population (2022) '!$B$2:$F$236,4,FALSE)</f>
        <v>N.A.</v>
      </c>
      <c r="G217" s="4">
        <f>VLOOKUP(C217,'[1]World Population (2022) '!$B$2:$F$236,5,FALSE)</f>
        <v>0.15</v>
      </c>
      <c r="J217" s="8"/>
    </row>
    <row r="218" spans="1:10" x14ac:dyDescent="0.25">
      <c r="A218" s="2">
        <v>217</v>
      </c>
      <c r="B218" s="2" t="s">
        <v>451</v>
      </c>
      <c r="C218" s="2" t="s">
        <v>452</v>
      </c>
      <c r="D218" s="2">
        <f>VLOOKUP(C218,'[1]World Population (2022) '!$B$2:$C$236,2,FALSE)</f>
        <v>0</v>
      </c>
      <c r="E218" s="2">
        <f>VLOOKUP(D218,'[1]World Population (2022) '!$C$2:$D$236,2,FALSE)</f>
        <v>1.4</v>
      </c>
      <c r="F218" s="2" t="str">
        <f>VLOOKUP(C218,'[1]World Population (2022) '!$B$2:$F$236,4,FALSE)</f>
        <v>N.A.</v>
      </c>
      <c r="G218" s="4" t="str">
        <f>VLOOKUP(C218,'[1]World Population (2022) '!$B$2:$F$236,5,FALSE)</f>
        <v>N.A.</v>
      </c>
      <c r="J218" s="8"/>
    </row>
    <row r="219" spans="1:10" x14ac:dyDescent="0.25">
      <c r="A219" s="2">
        <v>218</v>
      </c>
      <c r="B219" s="2" t="s">
        <v>453</v>
      </c>
      <c r="C219" s="2" t="s">
        <v>454</v>
      </c>
      <c r="D219" s="2">
        <f>VLOOKUP(C219,'[1]World Population (2022) '!$B$2:$C$236,2,FALSE)</f>
        <v>0</v>
      </c>
      <c r="E219" s="2">
        <f>VLOOKUP(D219,'[1]World Population (2022) '!$C$2:$D$236,2,FALSE)</f>
        <v>1.4</v>
      </c>
      <c r="F219" s="2" t="str">
        <f>VLOOKUP(C219,'[1]World Population (2022) '!$B$2:$F$236,4,FALSE)</f>
        <v>N.A.</v>
      </c>
      <c r="G219" s="4">
        <f>VLOOKUP(C219,'[1]World Population (2022) '!$B$2:$F$236,5,FALSE)</f>
        <v>0.97</v>
      </c>
      <c r="J219" s="8"/>
    </row>
    <row r="220" spans="1:10" x14ac:dyDescent="0.25">
      <c r="A220" s="2">
        <v>219</v>
      </c>
      <c r="B220" s="2" t="s">
        <v>455</v>
      </c>
      <c r="C220" s="2" t="s">
        <v>456</v>
      </c>
      <c r="D220" s="2">
        <f>VLOOKUP(C220,'[1]World Population (2022) '!$B$2:$C$236,2,FALSE)</f>
        <v>0</v>
      </c>
      <c r="E220" s="2">
        <f>VLOOKUP(D220,'[1]World Population (2022) '!$C$2:$D$236,2,FALSE)</f>
        <v>1.4</v>
      </c>
      <c r="F220" s="2" t="str">
        <f>VLOOKUP(C220,'[1]World Population (2022) '!$B$2:$F$236,4,FALSE)</f>
        <v>N.A.</v>
      </c>
      <c r="G220" s="4" t="str">
        <f>VLOOKUP(C220,'[1]World Population (2022) '!$B$2:$F$236,5,FALSE)</f>
        <v>N.A.</v>
      </c>
      <c r="J220" s="8"/>
    </row>
    <row r="221" spans="1:10" x14ac:dyDescent="0.25">
      <c r="A221" s="2">
        <v>220</v>
      </c>
      <c r="B221" s="2" t="s">
        <v>457</v>
      </c>
      <c r="C221" s="2" t="s">
        <v>458</v>
      </c>
      <c r="D221" s="2">
        <f>VLOOKUP(C221,'[1]World Population (2022) '!$B$2:$C$236,2,FALSE)</f>
        <v>0</v>
      </c>
      <c r="E221" s="2">
        <f>VLOOKUP(D221,'[1]World Population (2022) '!$C$2:$D$236,2,FALSE)</f>
        <v>1.4</v>
      </c>
      <c r="F221" s="2" t="str">
        <f>VLOOKUP(C221,'[1]World Population (2022) '!$B$2:$F$236,4,FALSE)</f>
        <v>N.A.</v>
      </c>
      <c r="G221" s="4">
        <f>VLOOKUP(C221,'[1]World Population (2022) '!$B$2:$F$236,5,FALSE)</f>
        <v>0</v>
      </c>
      <c r="J221" s="8"/>
    </row>
    <row r="222" spans="1:10" x14ac:dyDescent="0.25">
      <c r="A222" s="2">
        <v>221</v>
      </c>
      <c r="B222" s="2" t="s">
        <v>459</v>
      </c>
      <c r="C222" s="2" t="s">
        <v>460</v>
      </c>
      <c r="D222" s="2">
        <f>VLOOKUP(C222,'[1]World Population (2022) '!$B$2:$C$236,2,FALSE)</f>
        <v>0</v>
      </c>
      <c r="E222" s="2">
        <f>VLOOKUP(D222,'[1]World Population (2022) '!$C$2:$D$236,2,FALSE)</f>
        <v>1.4</v>
      </c>
      <c r="F222" s="2" t="str">
        <f>VLOOKUP(C222,'[1]World Population (2022) '!$B$2:$F$236,4,FALSE)</f>
        <v>N.A.</v>
      </c>
      <c r="G222" s="4">
        <f>VLOOKUP(C222,'[1]World Population (2022) '!$B$2:$F$236,5,FALSE)</f>
        <v>0.52</v>
      </c>
      <c r="J222" s="8"/>
    </row>
    <row r="223" spans="1:10" x14ac:dyDescent="0.25">
      <c r="A223" s="2">
        <v>222</v>
      </c>
      <c r="B223" s="2" t="s">
        <v>461</v>
      </c>
      <c r="C223" s="2" t="s">
        <v>462</v>
      </c>
      <c r="D223" s="2">
        <f>VLOOKUP(C223,'[1]World Population (2022) '!$B$2:$C$236,2,FALSE)</f>
        <v>0</v>
      </c>
      <c r="E223" s="2">
        <f>VLOOKUP(D223,'[1]World Population (2022) '!$C$2:$D$236,2,FALSE)</f>
        <v>1.4</v>
      </c>
      <c r="F223" s="2" t="str">
        <f>VLOOKUP(C223,'[1]World Population (2022) '!$B$2:$F$236,4,FALSE)</f>
        <v>N.A.</v>
      </c>
      <c r="G223" s="4" t="str">
        <f>VLOOKUP(C223,'[1]World Population (2022) '!$B$2:$F$236,5,FALSE)</f>
        <v>N.A.</v>
      </c>
      <c r="J223" s="8"/>
    </row>
    <row r="224" spans="1:10" x14ac:dyDescent="0.25">
      <c r="A224" s="2">
        <v>223</v>
      </c>
      <c r="B224" s="2" t="s">
        <v>463</v>
      </c>
      <c r="C224" s="2" t="s">
        <v>464</v>
      </c>
      <c r="D224" s="2">
        <f>VLOOKUP(C224,'[1]World Population (2022) '!$B$2:$C$236,2,FALSE)</f>
        <v>0</v>
      </c>
      <c r="E224" s="2">
        <f>VLOOKUP(D224,'[1]World Population (2022) '!$C$2:$D$236,2,FALSE)</f>
        <v>1.4</v>
      </c>
      <c r="F224" s="2" t="str">
        <f>VLOOKUP(C224,'[1]World Population (2022) '!$B$2:$F$236,4,FALSE)</f>
        <v>N.A.</v>
      </c>
      <c r="G224" s="4">
        <f>VLOOKUP(C224,'[1]World Population (2022) '!$B$2:$F$236,5,FALSE)</f>
        <v>0.75</v>
      </c>
      <c r="J224" s="8"/>
    </row>
    <row r="225" spans="1:10" x14ac:dyDescent="0.25">
      <c r="A225" s="2">
        <v>224</v>
      </c>
      <c r="B225" s="2" t="s">
        <v>465</v>
      </c>
      <c r="C225" s="2" t="s">
        <v>466</v>
      </c>
      <c r="D225" s="2">
        <f>VLOOKUP(C225,'[1]World Population (2022) '!$B$2:$C$236,2,FALSE)</f>
        <v>0</v>
      </c>
      <c r="E225" s="2">
        <f>VLOOKUP(D225,'[1]World Population (2022) '!$C$2:$D$236,2,FALSE)</f>
        <v>1.4</v>
      </c>
      <c r="F225" s="2" t="str">
        <f>VLOOKUP(C225,'[1]World Population (2022) '!$B$2:$F$236,4,FALSE)</f>
        <v>N.A.</v>
      </c>
      <c r="G225" s="4" t="str">
        <f>VLOOKUP(C225,'[1]World Population (2022) '!$B$2:$F$236,5,FALSE)</f>
        <v>N.A.</v>
      </c>
      <c r="J225" s="8"/>
    </row>
    <row r="226" spans="1:10" x14ac:dyDescent="0.25">
      <c r="A226" s="2">
        <v>225</v>
      </c>
      <c r="B226" s="2" t="s">
        <v>467</v>
      </c>
      <c r="C226" s="2" t="s">
        <v>468</v>
      </c>
      <c r="D226" s="2">
        <f>VLOOKUP(C226,'[1]World Population (2022) '!$B$2:$C$236,2,FALSE)</f>
        <v>0</v>
      </c>
      <c r="E226" s="2">
        <f>VLOOKUP(D226,'[1]World Population (2022) '!$C$2:$D$236,2,FALSE)</f>
        <v>1.4</v>
      </c>
      <c r="F226" s="2" t="str">
        <f>VLOOKUP(C226,'[1]World Population (2022) '!$B$2:$F$236,4,FALSE)</f>
        <v>N.A.</v>
      </c>
      <c r="G226" s="4" t="str">
        <f>VLOOKUP(C226,'[1]World Population (2022) '!$B$2:$F$236,5,FALSE)</f>
        <v>N.A.</v>
      </c>
      <c r="J226" s="8"/>
    </row>
    <row r="227" spans="1:10" x14ac:dyDescent="0.25">
      <c r="A227" s="2">
        <v>226</v>
      </c>
      <c r="B227" s="2" t="s">
        <v>469</v>
      </c>
      <c r="C227" s="2" t="s">
        <v>470</v>
      </c>
      <c r="D227" s="2" t="e">
        <f>VLOOKUP(C227,'[1]World Population (2022) '!$B$2:$C$236,2,FALSE)</f>
        <v>#N/A</v>
      </c>
      <c r="E227" s="2" t="e">
        <f>VLOOKUP(D227,'[1]World Population (2022) '!$C$2:$D$236,2,FALSE)</f>
        <v>#N/A</v>
      </c>
      <c r="F227" s="2" t="e">
        <f>VLOOKUP(C227,'[1]World Population (2022) '!$B$2:$F$236,4,FALSE)</f>
        <v>#N/A</v>
      </c>
      <c r="G227" s="4" t="e">
        <f>VLOOKUP(C227,'[1]World Population (2022) '!$B$2:$F$236,5,FALSE)</f>
        <v>#N/A</v>
      </c>
      <c r="J227" s="8"/>
    </row>
    <row r="228" spans="1:10" x14ac:dyDescent="0.25">
      <c r="A228" s="2">
        <v>227</v>
      </c>
      <c r="B228" s="2" t="s">
        <v>471</v>
      </c>
      <c r="C228" s="2" t="s">
        <v>472</v>
      </c>
      <c r="D228" s="2">
        <f>VLOOKUP(C228,'[1]World Population (2022) '!$B$2:$C$236,2,FALSE)</f>
        <v>0</v>
      </c>
      <c r="E228" s="2">
        <f>VLOOKUP(D228,'[1]World Population (2022) '!$C$2:$D$236,2,FALSE)</f>
        <v>1.4</v>
      </c>
      <c r="F228" s="2" t="str">
        <f>VLOOKUP(C228,'[1]World Population (2022) '!$B$2:$F$236,4,FALSE)</f>
        <v>N.A.</v>
      </c>
      <c r="G228" s="4">
        <f>VLOOKUP(C228,'[1]World Population (2022) '!$B$2:$F$236,5,FALSE)</f>
        <v>0.62</v>
      </c>
      <c r="J228" s="8"/>
    </row>
    <row r="229" spans="1:10" x14ac:dyDescent="0.25">
      <c r="A229" s="2">
        <v>228</v>
      </c>
      <c r="B229" s="2" t="s">
        <v>473</v>
      </c>
      <c r="C229" s="2" t="s">
        <v>474</v>
      </c>
      <c r="D229" s="2">
        <f>VLOOKUP(C229,'[1]World Population (2022) '!$B$2:$C$236,2,FALSE)</f>
        <v>0</v>
      </c>
      <c r="E229" s="2">
        <f>VLOOKUP(D229,'[1]World Population (2022) '!$C$2:$D$236,2,FALSE)</f>
        <v>1.4</v>
      </c>
      <c r="F229" s="2" t="str">
        <f>VLOOKUP(C229,'[1]World Population (2022) '!$B$2:$F$236,4,FALSE)</f>
        <v>N.A.</v>
      </c>
      <c r="G229" s="4">
        <f>VLOOKUP(C229,'[1]World Population (2022) '!$B$2:$F$236,5,FALSE)</f>
        <v>0</v>
      </c>
      <c r="J229" s="8"/>
    </row>
    <row r="230" spans="1:10" x14ac:dyDescent="0.25">
      <c r="A230" s="2">
        <v>229</v>
      </c>
      <c r="B230" s="2" t="s">
        <v>475</v>
      </c>
      <c r="C230" s="2" t="s">
        <v>476</v>
      </c>
      <c r="D230" s="2" t="e">
        <f>VLOOKUP(C230,'[1]World Population (2022) '!$B$2:$C$236,2,FALSE)</f>
        <v>#N/A</v>
      </c>
      <c r="E230" s="2" t="e">
        <f>VLOOKUP(D230,'[1]World Population (2022) '!$C$2:$D$236,2,FALSE)</f>
        <v>#N/A</v>
      </c>
      <c r="F230" s="2" t="e">
        <f>VLOOKUP(C230,'[1]World Population (2022) '!$B$2:$F$236,4,FALSE)</f>
        <v>#N/A</v>
      </c>
      <c r="G230" s="4" t="e">
        <f>VLOOKUP(C230,'[1]World Population (2022) '!$B$2:$F$236,5,FALSE)</f>
        <v>#N/A</v>
      </c>
      <c r="J230" s="8"/>
    </row>
    <row r="231" spans="1:10" x14ac:dyDescent="0.25">
      <c r="A231" s="2">
        <v>230</v>
      </c>
      <c r="B231" s="2" t="s">
        <v>477</v>
      </c>
      <c r="C231" s="2" t="s">
        <v>478</v>
      </c>
      <c r="D231" s="2">
        <f>VLOOKUP(C231,'[1]World Population (2022) '!$B$2:$C$236,2,FALSE)</f>
        <v>0</v>
      </c>
      <c r="E231" s="2">
        <f>VLOOKUP(D231,'[1]World Population (2022) '!$C$2:$D$236,2,FALSE)</f>
        <v>1.4</v>
      </c>
      <c r="F231" s="2" t="str">
        <f>VLOOKUP(C231,'[1]World Population (2022) '!$B$2:$F$236,4,FALSE)</f>
        <v>N.A.</v>
      </c>
      <c r="G231" s="4">
        <f>VLOOKUP(C231,'[1]World Population (2022) '!$B$2:$F$236,5,FALSE)</f>
        <v>0.1</v>
      </c>
      <c r="J231" s="8"/>
    </row>
    <row r="232" spans="1:10" x14ac:dyDescent="0.25">
      <c r="A232" s="2">
        <v>231</v>
      </c>
      <c r="B232" s="2" t="s">
        <v>479</v>
      </c>
      <c r="C232" s="2" t="s">
        <v>480</v>
      </c>
      <c r="D232" s="2">
        <f>VLOOKUP(C232,'[1]World Population (2022) '!$B$2:$C$236,2,FALSE)</f>
        <v>0</v>
      </c>
      <c r="E232" s="2">
        <f>VLOOKUP(D232,'[1]World Population (2022) '!$C$2:$D$236,2,FALSE)</f>
        <v>1.4</v>
      </c>
      <c r="F232" s="2" t="str">
        <f>VLOOKUP(C232,'[1]World Population (2022) '!$B$2:$F$236,4,FALSE)</f>
        <v>N.A.</v>
      </c>
      <c r="G232" s="4">
        <f>VLOOKUP(C232,'[1]World Population (2022) '!$B$2:$F$236,5,FALSE)</f>
        <v>0.66</v>
      </c>
      <c r="J232" s="8"/>
    </row>
    <row r="233" spans="1:10" x14ac:dyDescent="0.25">
      <c r="A233" s="2">
        <v>232</v>
      </c>
      <c r="B233" s="2" t="s">
        <v>481</v>
      </c>
      <c r="C233" s="2" t="s">
        <v>482</v>
      </c>
      <c r="D233" s="2">
        <f>VLOOKUP(C233,'[1]World Population (2022) '!$B$2:$C$236,2,FALSE)</f>
        <v>0</v>
      </c>
      <c r="E233" s="2">
        <f>VLOOKUP(D233,'[1]World Population (2022) '!$C$2:$D$236,2,FALSE)</f>
        <v>1.4</v>
      </c>
      <c r="F233" s="2" t="str">
        <f>VLOOKUP(C233,'[1]World Population (2022) '!$B$2:$F$236,4,FALSE)</f>
        <v>N.A.</v>
      </c>
      <c r="G233" s="4">
        <f>VLOOKUP(C233,'[1]World Population (2022) '!$B$2:$F$236,5,FALSE)</f>
        <v>0.46</v>
      </c>
      <c r="J233" s="8"/>
    </row>
    <row r="234" spans="1:10" x14ac:dyDescent="0.25">
      <c r="A234" s="2">
        <v>233</v>
      </c>
      <c r="B234" s="2" t="s">
        <v>483</v>
      </c>
      <c r="C234" s="2" t="s">
        <v>484</v>
      </c>
      <c r="D234" s="2">
        <f>VLOOKUP(C234,'[1]World Population (2022) '!$B$2:$C$236,2,FALSE)</f>
        <v>0</v>
      </c>
      <c r="E234" s="2">
        <f>VLOOKUP(D234,'[1]World Population (2022) '!$C$2:$D$236,2,FALSE)</f>
        <v>1.4</v>
      </c>
      <c r="F234" s="2" t="str">
        <f>VLOOKUP(C234,'[1]World Population (2022) '!$B$2:$F$236,4,FALSE)</f>
        <v>N.A.</v>
      </c>
      <c r="G234" s="4">
        <f>VLOOKUP(C234,'[1]World Population (2022) '!$B$2:$F$236,5,FALSE)</f>
        <v>0</v>
      </c>
      <c r="J234" s="8"/>
    </row>
    <row r="235" spans="1:10" x14ac:dyDescent="0.25">
      <c r="A235" s="2">
        <v>234</v>
      </c>
      <c r="B235" s="2" t="s">
        <v>485</v>
      </c>
      <c r="C235" s="2" t="s">
        <v>486</v>
      </c>
      <c r="D235" s="2" t="e">
        <f>VLOOKUP(C235,'[1]World Population (2022) '!$B$2:$C$236,2,FALSE)</f>
        <v>#N/A</v>
      </c>
      <c r="E235" s="2" t="e">
        <f>VLOOKUP(D235,'[1]World Population (2022) '!$C$2:$D$236,2,FALSE)</f>
        <v>#N/A</v>
      </c>
      <c r="F235" s="2" t="e">
        <f>VLOOKUP(C235,'[1]World Population (2022) '!$B$2:$F$236,4,FALSE)</f>
        <v>#N/A</v>
      </c>
      <c r="G235" s="4" t="e">
        <f>VLOOKUP(C235,'[1]World Population (2022) '!$B$2:$F$236,5,FALSE)</f>
        <v>#N/A</v>
      </c>
      <c r="J235" s="8"/>
    </row>
    <row r="236" spans="1:10" x14ac:dyDescent="0.25">
      <c r="J236" s="8"/>
    </row>
    <row r="237" spans="1:10" x14ac:dyDescent="0.25">
      <c r="J237" s="8"/>
    </row>
    <row r="238" spans="1:10" x14ac:dyDescent="0.25">
      <c r="J238" s="8"/>
    </row>
    <row r="239" spans="1:10" x14ac:dyDescent="0.25">
      <c r="J239" s="8"/>
    </row>
    <row r="240" spans="1:10" x14ac:dyDescent="0.25">
      <c r="J240" s="8"/>
    </row>
    <row r="241" spans="10:10" x14ac:dyDescent="0.25">
      <c r="J241" s="8"/>
    </row>
  </sheetData>
  <conditionalFormatting sqref="D1:D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{91A0E350-2BFF-4DF7-8340-569EA0E0FB53}</x14:id>
        </ext>
      </extLst>
    </cfRule>
  </conditionalFormatting>
  <conditionalFormatting sqref="E236:E1048576">
    <cfRule type="colorScale" priority="3">
      <colorScale>
        <cfvo type="min"/>
        <cfvo type="max"/>
        <color rgb="FFFFEF9C"/>
        <color rgb="FF63BE7B"/>
      </colorScale>
    </cfRule>
  </conditionalFormatting>
  <conditionalFormatting sqref="G1:G235">
    <cfRule type="cellIs" dxfId="6" priority="2" operator="lessThan">
      <formula>0.4</formula>
    </cfRule>
  </conditionalFormatting>
  <conditionalFormatting sqref="E1:E235">
    <cfRule type="colorScale" priority="1">
      <colorScale>
        <cfvo type="min"/>
        <cfvo type="max"/>
        <color rgb="FF63BE7B"/>
        <color rgb="FFFFEF9C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1A0E350-2BFF-4DF7-8340-569EA0E0FB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population_data</vt:lpstr>
      <vt:lpstr>population_data1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Praveen Reddy</dc:creator>
  <cp:lastModifiedBy>Praveen Reddy</cp:lastModifiedBy>
  <dcterms:created xsi:type="dcterms:W3CDTF">2022-11-25T17:26:26Z</dcterms:created>
  <dcterms:modified xsi:type="dcterms:W3CDTF">2022-11-30T17:07:15Z</dcterms:modified>
</cp:coreProperties>
</file>